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  <sheet xmlns:r="http://schemas.openxmlformats.org/officeDocument/2006/relationships" name="Cooperación" sheetId="2" state="visible" r:id="rId2"/>
    <sheet xmlns:r="http://schemas.openxmlformats.org/officeDocument/2006/relationships"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D5C"/>
      <sz val="13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D5C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8" customWidth="1" min="4" max="4"/>
    <col width="24" customWidth="1" min="5" max="5"/>
    <col width="40" customWidth="1" min="6" max="6"/>
    <col width="14" customWidth="1" min="7" max="7"/>
    <col width="18" customWidth="1" min="8" max="8"/>
    <col width="34" customWidth="1" min="9" max="9"/>
    <col width="24" customWidth="1" min="10" max="10"/>
  </cols>
  <sheetData>
    <row r="1">
      <c r="A1" s="1" t="inlineStr">
        <is>
          <t>Anexo C · Estructura de la información (AR02_entidades.csv)</t>
        </is>
      </c>
    </row>
    <row r="2">
      <c r="A2" s="2" t="inlineStr">
        <is>
          <t>Municipalidad Distrital de Alto Selva · PETI v0.10 · Restringido · Taller 10 SI-886</t>
        </is>
      </c>
    </row>
    <row r="4">
      <c r="A4" s="3" t="inlineStr">
        <is>
          <t>Entidad</t>
        </is>
      </c>
      <c r="B4" s="3" t="inlineStr">
        <is>
          <t>Sistemas donde reside</t>
        </is>
      </c>
      <c r="C4" s="3" t="inlineStr">
        <is>
          <t>N.º de registros por sistema</t>
        </is>
      </c>
      <c r="D4" s="3" t="inlineStr">
        <is>
          <t>¿Fuente autoritativa?</t>
        </is>
      </c>
      <c r="E4" s="3" t="inlineStr">
        <is>
          <t>Dueño del dato (cargo)</t>
        </is>
      </c>
      <c r="F4" s="3" t="inlineStr">
        <is>
          <t>Discrepancia observada</t>
        </is>
      </c>
      <c r="G4" s="3" t="inlineStr">
        <is>
          <t>Clasificación</t>
        </is>
      </c>
      <c r="H4" s="3" t="inlineStr">
        <is>
          <t>¿Contiene datos personales?</t>
        </is>
      </c>
      <c r="I4" s="3" t="inlineStr">
        <is>
          <t>Fuente autoritativa objetivo</t>
        </is>
      </c>
      <c r="J4" s="3" t="inlineStr">
        <is>
          <t>Dueño objetivo (cargo)</t>
        </is>
      </c>
    </row>
    <row r="5">
      <c r="A5" s="4" t="inlineStr">
        <is>
          <t>Contribuyente y predio</t>
        </is>
      </c>
      <c r="B5" s="4" t="inlineStr">
        <is>
          <t>Rentas y catastro; Caja; Mesa de partes virtual; Hoja de fiscalización predial</t>
        </is>
      </c>
      <c r="C5" s="4" t="inlineStr">
        <is>
          <t>22 600 predios / pagos del día / 6 200 solicitudes / 1 900</t>
        </is>
      </c>
      <c r="D5" s="4" t="inlineStr">
        <is>
          <t>Rentas y catastro (declarada)</t>
        </is>
      </c>
      <c r="E5" s="5" t="inlineStr">
        <is>
          <t>Ninguno</t>
        </is>
      </c>
      <c r="F5" s="4" t="inlineStr">
        <is>
          <t>La deuda difiere entre rentas y la hoja de fiscalización</t>
        </is>
      </c>
      <c r="G5" s="4" t="inlineStr">
        <is>
          <t>Confidencial</t>
        </is>
      </c>
      <c r="H5" s="4" t="inlineStr">
        <is>
          <t>Sí</t>
        </is>
      </c>
      <c r="I5" s="4" t="inlineStr">
        <is>
          <t>Padrón de contribuyentes y predios de Rentas y catastro</t>
        </is>
      </c>
      <c r="J5" s="4" t="inlineStr">
        <is>
          <t>Subgerente de Administración Tributaria</t>
        </is>
      </c>
    </row>
    <row r="6">
      <c r="A6" s="4" t="inlineStr">
        <is>
          <t>Expediente</t>
        </is>
      </c>
      <c r="B6" s="4" t="inlineStr">
        <is>
          <t>Trámite documentario; Mesa de partes virtual; Hoja de control de expedientes; Archivo físico</t>
        </is>
      </c>
      <c r="C6" s="4" t="inlineStr">
        <is>
          <t>6 200 / 6 200 / 6 200 / 6 200 al año</t>
        </is>
      </c>
      <c r="D6" s="5" t="inlineStr">
        <is>
          <t>Ninguna (el físico manda)</t>
        </is>
      </c>
      <c r="E6" s="4" t="inlineStr">
        <is>
          <t>Secretaría General</t>
        </is>
      </c>
      <c r="F6" s="4" t="inlineStr">
        <is>
          <t>1 340 expedientes sin estado recuperable tras la caída</t>
        </is>
      </c>
      <c r="G6" s="4" t="inlineStr">
        <is>
          <t>Interna</t>
        </is>
      </c>
      <c r="H6" s="4" t="inlineStr">
        <is>
          <t>Sí</t>
        </is>
      </c>
      <c r="I6" s="4" t="inlineStr">
        <is>
          <t>Expediente electrónico del sistema de gestión documental</t>
        </is>
      </c>
      <c r="J6" s="4" t="inlineStr">
        <is>
          <t>Secretario General</t>
        </is>
      </c>
    </row>
    <row r="7">
      <c r="A7" s="4" t="inlineStr">
        <is>
          <t>Trabajador</t>
        </is>
      </c>
      <c r="B7" s="4" t="inlineStr">
        <is>
          <t>AIRHSP (MEF); Planilla local; Usuarios de trámite documentario</t>
        </is>
      </c>
      <c r="C7" s="4" t="inlineStr">
        <is>
          <t>178 / 272 con CAS y locación / 124</t>
        </is>
      </c>
      <c r="D7" s="4" t="inlineStr">
        <is>
          <t>AIRHSP (MEF)</t>
        </is>
      </c>
      <c r="E7" s="4" t="inlineStr">
        <is>
          <t>Recursos Humanos</t>
        </is>
      </c>
      <c r="F7" s="4" t="inlineStr">
        <is>
          <t>Los 94 locadores y CAS no figuran en ningún sistema de forma completa</t>
        </is>
      </c>
      <c r="G7" s="4" t="inlineStr">
        <is>
          <t>Restringida</t>
        </is>
      </c>
      <c r="H7" s="4" t="inlineStr">
        <is>
          <t>Sí, sensibles</t>
        </is>
      </c>
      <c r="I7" s="4" t="inlineStr">
        <is>
          <t>AIRHSP para planilla y Planilla local para CAS y locación</t>
        </is>
      </c>
      <c r="J7" s="4" t="inlineStr">
        <is>
          <t>Jefe de Recursos Humanos</t>
        </is>
      </c>
    </row>
    <row r="8">
      <c r="A8" s="4" t="inlineStr">
        <is>
          <t>Licencia de funcionamiento</t>
        </is>
      </c>
      <c r="B8" s="4" t="inlineStr">
        <is>
          <t>Trámite documentario; Hoja de registro de licencias; Archivo físico</t>
        </is>
      </c>
      <c r="C8" s="4" t="inlineStr">
        <is>
          <t>410 / 410 / 410 al año</t>
        </is>
      </c>
      <c r="D8" s="5" t="inlineStr">
        <is>
          <t>Ninguna (archivo físico)</t>
        </is>
      </c>
      <c r="E8" s="4" t="inlineStr">
        <is>
          <t>Subgerencia de Licencias</t>
        </is>
      </c>
      <c r="F8" s="4" t="inlineStr">
        <is>
          <t>Plazos distintos en la hoja y en el trámite</t>
        </is>
      </c>
      <c r="G8" s="4" t="inlineStr">
        <is>
          <t>Interna</t>
        </is>
      </c>
      <c r="H8" s="4" t="inlineStr">
        <is>
          <t>Sí</t>
        </is>
      </c>
      <c r="I8" s="4" t="inlineStr">
        <is>
          <t>Registro de licencias del sistema de gestión documental</t>
        </is>
      </c>
      <c r="J8" s="4" t="inlineStr">
        <is>
          <t>Subgerente de Licencias</t>
        </is>
      </c>
    </row>
    <row r="9">
      <c r="A9" s="4" t="inlineStr">
        <is>
          <t>Proveedor</t>
        </is>
      </c>
      <c r="B9" s="4" t="inlineStr">
        <is>
          <t>SIAF-SP</t>
        </is>
      </c>
      <c r="C9" s="4" t="inlineStr">
        <is>
          <t>89</t>
        </is>
      </c>
      <c r="D9" s="4" t="inlineStr">
        <is>
          <t>SIAF-SP</t>
        </is>
      </c>
      <c r="E9" s="5" t="inlineStr">
        <is>
          <t>Ninguno</t>
        </is>
      </c>
      <c r="F9" s="4" t="inlineStr">
        <is>
          <t>Sin discrepancia conocida; contiene contacto y documento de identidad</t>
        </is>
      </c>
      <c r="G9" s="4" t="inlineStr">
        <is>
          <t>Interna</t>
        </is>
      </c>
      <c r="H9" s="4" t="inlineStr">
        <is>
          <t>Sí (personas naturales)</t>
        </is>
      </c>
      <c r="I9" s="4" t="inlineStr">
        <is>
          <t>SIAF-SP</t>
        </is>
      </c>
      <c r="J9" s="4" t="inlineStr">
        <is>
          <t>Jefe de Logística</t>
        </is>
      </c>
    </row>
    <row r="10">
      <c r="A10" s="4" t="inlineStr">
        <is>
          <t>Pago a proveedor</t>
        </is>
      </c>
      <c r="B10" s="4" t="inlineStr">
        <is>
          <t>SIAF-SP</t>
        </is>
      </c>
      <c r="C10" s="4" t="inlineStr">
        <is>
          <t>8 126 comprobantes 2025</t>
        </is>
      </c>
      <c r="D10" s="4" t="inlineStr">
        <is>
          <t>SIAF-SP</t>
        </is>
      </c>
      <c r="E10" s="5" t="inlineStr">
        <is>
          <t>Ninguno</t>
        </is>
      </c>
      <c r="F10" s="4" t="inlineStr">
        <is>
          <t>Registro y aprobación por usuarios del SIAF sin dueño que responda por el dato</t>
        </is>
      </c>
      <c r="G10" s="4" t="inlineStr">
        <is>
          <t>Confidencial</t>
        </is>
      </c>
      <c r="H10" s="4" t="inlineStr">
        <is>
          <t>No</t>
        </is>
      </c>
      <c r="I10" s="4" t="inlineStr">
        <is>
          <t>SIAF-SP</t>
        </is>
      </c>
      <c r="J10" s="4" t="inlineStr">
        <is>
          <t>Jefe de Tesorería</t>
        </is>
      </c>
    </row>
    <row r="11">
      <c r="A11" s="4" t="inlineStr">
        <is>
          <t>Cuenta de usuario</t>
        </is>
      </c>
      <c r="B11" s="4" t="inlineStr">
        <is>
          <t>Trámite documentario; Usuarios del ERP (SIAF-SP)</t>
        </is>
      </c>
      <c r="C11" s="4" t="inlineStr">
        <is>
          <t>124 / 126</t>
        </is>
      </c>
      <c r="D11" s="5" t="inlineStr">
        <is>
          <t>Ninguna</t>
        </is>
      </c>
      <c r="E11" s="5" t="inlineStr">
        <is>
          <t>Ninguno</t>
        </is>
      </c>
      <c r="F11" s="4" t="inlineStr">
        <is>
          <t>No se concilian con la planilla (178) ni con el personal CAS y locación (94)</t>
        </is>
      </c>
      <c r="G11" s="4" t="inlineStr">
        <is>
          <t>Restringida</t>
        </is>
      </c>
      <c r="H11" s="4" t="inlineStr">
        <is>
          <t>Sí</t>
        </is>
      </c>
      <c r="I11" s="4" t="inlineStr">
        <is>
          <t>Directorio institucional de cuentas con alta y baja desde Recursos Humanos</t>
        </is>
      </c>
      <c r="J11" s="4" t="inlineStr">
        <is>
          <t>Jefe de la Unidad de TI</t>
        </is>
      </c>
    </row>
    <row r="12">
      <c r="A12" s="4" t="inlineStr">
        <is>
          <t>Acta de registro civil</t>
        </is>
      </c>
      <c r="B12" s="4" t="inlineStr">
        <is>
          <t>Libros físicos de registro civil; hojas de cálculo del área</t>
        </is>
      </c>
      <c r="C12" s="4" t="inlineStr">
        <is>
          <t>Sin conteo: se opera en papel</t>
        </is>
      </c>
      <c r="D12" s="5" t="inlineStr">
        <is>
          <t>Ninguna (papel)</t>
        </is>
      </c>
      <c r="E12" s="5" t="inlineStr">
        <is>
          <t>Ninguno</t>
        </is>
      </c>
      <c r="F12" s="4" t="inlineStr">
        <is>
          <t>No existe índice digital de las actas</t>
        </is>
      </c>
      <c r="G12" s="4" t="inlineStr">
        <is>
          <t>Restringida</t>
        </is>
      </c>
      <c r="H12" s="4" t="inlineStr">
        <is>
          <t>Sí, sensibles</t>
        </is>
      </c>
      <c r="I12" s="4" t="inlineStr">
        <is>
          <t>Sistema de registro civil integrado con RENIEC</t>
        </is>
      </c>
      <c r="J12" s="4" t="inlineStr">
        <is>
          <t>Jefe de Registro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8" customWidth="1" min="3" max="3"/>
    <col width="18" customWidth="1" min="4" max="4"/>
    <col width="12" customWidth="1" min="5" max="5"/>
    <col width="60" customWidth="1" min="6" max="6"/>
  </cols>
  <sheetData>
    <row r="1">
      <c r="A1" s="1" t="inlineStr">
        <is>
          <t>Vista de cooperación proceso-aplicación (AR02_procesos_aplicacion.csv)</t>
        </is>
      </c>
    </row>
    <row r="2">
      <c r="A2" s="2" t="inlineStr">
        <is>
          <t>Municipalidad Distrital de Alto Selva · PETI v0.10 · Restringido · Taller 10 SI-886</t>
        </is>
      </c>
    </row>
    <row r="4">
      <c r="A4" s="3" t="inlineStr">
        <is>
          <t>id</t>
        </is>
      </c>
      <c r="B4" s="3" t="inlineStr">
        <is>
          <t>Proceso</t>
        </is>
      </c>
      <c r="C4" s="3" t="inlineStr">
        <is>
          <t>Sistema que lo soporta</t>
        </is>
      </c>
      <c r="D4" s="3" t="inlineStr">
        <is>
          <t>Aplicaciones</t>
        </is>
      </c>
      <c r="E4" s="3" t="inlineStr">
        <is>
          <t>Nivel</t>
        </is>
      </c>
      <c r="F4" s="3" t="inlineStr">
        <is>
          <t>Evidencia</t>
        </is>
      </c>
    </row>
    <row r="5">
      <c r="A5" s="4" t="inlineStr">
        <is>
          <t>PRO-01</t>
        </is>
      </c>
      <c r="B5" s="4" t="inlineStr">
        <is>
          <t>Trámite documentario y mesa de partes</t>
        </is>
      </c>
      <c r="C5" s="4" t="inlineStr">
        <is>
          <t>Trámite documentario (sin soporte) + hoja de expedientes</t>
        </is>
      </c>
      <c r="D5" s="4" t="inlineStr">
        <is>
          <t>APP-02; APP-06</t>
        </is>
      </c>
      <c r="E5" s="4" t="inlineStr">
        <is>
          <t>Deficiente</t>
        </is>
      </c>
      <c r="F5" s="4" t="inlineStr">
        <is>
          <t>Sin documentación ni soporte; el físico manda; 1 340 expedientes sin estado tras la caída</t>
        </is>
      </c>
    </row>
    <row r="6">
      <c r="A6" s="4" t="inlineStr">
        <is>
          <t>PRO-02</t>
        </is>
      </c>
      <c r="B6" s="4" t="inlineStr">
        <is>
          <t>Recaudación de tributos municipales</t>
        </is>
      </c>
      <c r="C6" s="4" t="inlineStr">
        <is>
          <t>Rentas y catastro (sin soporte) + hoja de fiscalización</t>
        </is>
      </c>
      <c r="D6" s="4" t="inlineStr">
        <is>
          <t>APP-03; APP-07</t>
        </is>
      </c>
      <c r="E6" s="4" t="inlineStr">
        <is>
          <t>Parcial</t>
        </is>
      </c>
      <c r="F6" s="4" t="inlineStr">
        <is>
          <t>Sistema operativo pero sin soporte; caído 9 días hábiles en 2025; se digita al SIAF-SP al cierre</t>
        </is>
      </c>
    </row>
    <row r="7">
      <c r="A7" s="4" t="inlineStr">
        <is>
          <t>PRO-03</t>
        </is>
      </c>
      <c r="B7" s="4" t="inlineStr">
        <is>
          <t>Licencias de funcionamiento y edificación</t>
        </is>
      </c>
      <c r="C7" s="4" t="inlineStr">
        <is>
          <t>Rentas y catastro + HOJA DE LICENCIAS + archivo físico</t>
        </is>
      </c>
      <c r="D7" s="4" t="inlineStr">
        <is>
          <t>APP-03; APP-08</t>
        </is>
      </c>
      <c r="E7" s="4" t="inlineStr">
        <is>
          <t>Deficiente</t>
        </is>
      </c>
      <c r="F7" s="4" t="inlineStr">
        <is>
          <t>La fuente es el archivo físico; plazos distintos en la hoja y en el trámite</t>
        </is>
      </c>
    </row>
    <row r="8">
      <c r="A8" s="4" t="inlineStr">
        <is>
          <t>PRO-04</t>
        </is>
      </c>
      <c r="B8" s="4" t="inlineStr">
        <is>
          <t>Registro civil</t>
        </is>
      </c>
      <c r="C8" s="4" t="inlineStr">
        <is>
          <t>NINGUNO · papel y hojas de cálculo</t>
        </is>
      </c>
      <c r="D8" s="4" t="inlineStr">
        <is>
          <t>—</t>
        </is>
      </c>
      <c r="E8" s="4" t="inlineStr">
        <is>
          <t>Sin soporte</t>
        </is>
      </c>
      <c r="F8" s="4" t="inlineStr">
        <is>
          <t>Actas solo en libros físicos; sin índice digital</t>
        </is>
      </c>
    </row>
    <row r="9">
      <c r="A9" s="4" t="inlineStr">
        <is>
          <t>PRO-05</t>
        </is>
      </c>
      <c r="B9" s="4" t="inlineStr">
        <is>
          <t>Contrataciones y logística</t>
        </is>
      </c>
      <c r="C9" s="4" t="inlineStr">
        <is>
          <t>SIAF-SP (MEF)</t>
        </is>
      </c>
      <c r="D9" s="4" t="inlineStr">
        <is>
          <t>APP-01</t>
        </is>
      </c>
      <c r="E9" s="4" t="inlineStr">
        <is>
          <t>Bueno</t>
        </is>
      </c>
      <c r="F9" s="4" t="inlineStr">
        <is>
          <t>Sistema obligatorio con soporte del MEF</t>
        </is>
      </c>
    </row>
    <row r="10">
      <c r="A10" s="4" t="inlineStr">
        <is>
          <t>PRO-06</t>
        </is>
      </c>
      <c r="B10" s="4" t="inlineStr">
        <is>
          <t>Atención al ciudadano</t>
        </is>
      </c>
      <c r="C10" s="4" t="inlineStr">
        <is>
          <t>Mesa de partes virtual (formulario + correo)</t>
        </is>
      </c>
      <c r="D10" s="4" t="inlineStr">
        <is>
          <t>APP-05</t>
        </is>
      </c>
      <c r="E10" s="4" t="inlineStr">
        <is>
          <t>Deficiente</t>
        </is>
      </c>
      <c r="F10" s="4" t="inlineStr">
        <is>
          <t>El correo se imprime y se vuelve a registrar; sin soporte</t>
        </is>
      </c>
    </row>
    <row r="11">
      <c r="A11" s="4" t="inlineStr">
        <is>
          <t>PRO-07</t>
        </is>
      </c>
      <c r="B11" s="4" t="inlineStr">
        <is>
          <t>Gestión de personal y planilla</t>
        </is>
      </c>
      <c r="C11" s="4" t="inlineStr">
        <is>
          <t>AIRHSP (MEF) + Planilla local</t>
        </is>
      </c>
      <c r="D11" s="4" t="inlineStr">
        <is>
          <t>APP-09; APP-10</t>
        </is>
      </c>
      <c r="E11" s="4" t="inlineStr">
        <is>
          <t>Parcial</t>
        </is>
      </c>
      <c r="F11" s="4" t="inlineStr">
        <is>
          <t>Los locadores no figuran en ningún sistema</t>
        </is>
      </c>
    </row>
    <row r="12">
      <c r="A12" s="4" t="inlineStr">
        <is>
          <t>PRO-08</t>
        </is>
      </c>
      <c r="B12" s="4" t="inlineStr">
        <is>
          <t>Transparencia y acceso a la información</t>
        </is>
      </c>
      <c r="C12" s="4" t="inlineStr">
        <is>
          <t>Portal de transparencia estándar (PCM)</t>
        </is>
      </c>
      <c r="D12" s="4" t="inlineStr">
        <is>
          <t>APP-04</t>
        </is>
      </c>
      <c r="E12" s="4" t="inlineStr">
        <is>
          <t>Parcial</t>
        </is>
      </c>
      <c r="F12" s="4" t="inlineStr">
        <is>
          <t>La plataforma tiene soporte de la PCM pero se carga a mano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Indicadores de la arquitectura actual</t>
        </is>
      </c>
    </row>
    <row r="2">
      <c r="A2" t="inlineStr">
        <is>
          <t>Calculados con fórmulas sobre las hojas Entidades y Cooperación</t>
        </is>
      </c>
    </row>
    <row r="4">
      <c r="A4" s="6" t="inlineStr">
        <is>
          <t>Indicador</t>
        </is>
      </c>
      <c r="B4" s="6" t="inlineStr">
        <is>
          <t>N</t>
        </is>
      </c>
      <c r="C4" s="6" t="inlineStr">
        <is>
          <t>M</t>
        </is>
      </c>
    </row>
    <row r="5">
      <c r="A5" s="7" t="inlineStr">
        <is>
          <t>Entidades sin fuente autoritativa</t>
        </is>
      </c>
      <c r="B5" s="7">
        <f>COUNTIF(Entidades!D5:D12,"Ninguna*")</f>
        <v/>
      </c>
      <c r="C5" s="7">
        <f>COUNTA(Entidades!A5:A12)</f>
        <v/>
      </c>
    </row>
    <row r="6">
      <c r="A6" s="7" t="inlineStr">
        <is>
          <t>Entidades sin dueño de dato</t>
        </is>
      </c>
      <c r="B6" s="7">
        <f>COUNTIF(Entidades!E5:E12,"Ninguno")</f>
        <v/>
      </c>
      <c r="C6" s="7">
        <f>COUNTA(Entidades!A5:A12)</f>
        <v/>
      </c>
    </row>
    <row r="7">
      <c r="A7" s="7" t="inlineStr">
        <is>
          <t>Entidades sin fuente ni dueño</t>
        </is>
      </c>
      <c r="B7" s="7">
        <f>COUNTIFS(Entidades!D5:D12,"Ninguna*",Entidades!E5:E12,"Ninguno")</f>
        <v/>
      </c>
      <c r="C7" s="7">
        <f>COUNTA(Entidades!A5:A12)</f>
        <v/>
      </c>
    </row>
    <row r="8">
      <c r="A8" s="7" t="inlineStr">
        <is>
          <t>Entidades con datos personales</t>
        </is>
      </c>
      <c r="B8" s="7">
        <f>COUNTIF(Entidades!H5:H12,"Sí*")</f>
        <v/>
      </c>
      <c r="C8" s="7">
        <f>COUNTA(Entidades!A5:A12)</f>
        <v/>
      </c>
    </row>
    <row r="9">
      <c r="A9" s="7" t="inlineStr">
        <is>
          <t>Procesos sin soporte o con soporte deficiente</t>
        </is>
      </c>
      <c r="B9" s="7">
        <f>COUNTIF(Cooperación!E5:E12,"Deficiente")+COUNTIF(Cooperación!E5:E12,"Sin soporte")</f>
        <v/>
      </c>
      <c r="C9" s="7">
        <f>COUNTA(Cooperación!A5:A12)</f>
        <v/>
      </c>
    </row>
    <row r="10">
      <c r="A10" s="7" t="inlineStr">
        <is>
          <t>Procesos con soporte parcial</t>
        </is>
      </c>
      <c r="B10" s="7">
        <f>COUNTIF(Cooperación!E5:E12,"Parcial")</f>
        <v/>
      </c>
      <c r="C10" s="7">
        <f>COUNTA(Cooperación!A5:A12)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2026-10-15T22:14:11Z</dcterms:created>
  <dcterms:modified xmlns:dcterms="http://purl.org/dc/terms/" xmlns:xsi="http://www.w3.org/2001/XMLSchema-instance" xsi:type="dcterms:W3CDTF">2026-10-15T22:14:11Z</dcterms:modified>
</cp:coreProperties>
</file>