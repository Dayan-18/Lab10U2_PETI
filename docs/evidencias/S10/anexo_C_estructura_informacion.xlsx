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dades" sheetId="1" state="visible" r:id="rId1"/>
    <sheet xmlns:r="http://schemas.openxmlformats.org/officeDocument/2006/relationships" name="Cooperación" sheetId="2" state="visible" r:id="rId2"/>
    <sheet xmlns:r="http://schemas.openxmlformats.org/officeDocument/2006/relationships" name="Indicador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D5C"/>
      <sz val="13"/>
    </font>
    <font>
      <i val="1"/>
      <color rgb="0066666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D5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2" customWidth="1" min="3" max="3"/>
    <col width="18" customWidth="1" min="4" max="4"/>
    <col width="24" customWidth="1" min="5" max="5"/>
    <col width="40" customWidth="1" min="6" max="6"/>
    <col width="14" customWidth="1" min="7" max="7"/>
    <col width="18" customWidth="1" min="8" max="8"/>
    <col width="34" customWidth="1" min="9" max="9"/>
    <col width="24" customWidth="1" min="10" max="10"/>
  </cols>
  <sheetData>
    <row r="1">
      <c r="A1" s="1" t="inlineStr">
        <is>
          <t>Anexo C · Estructura de la información (AR02_entidades.csv)</t>
        </is>
      </c>
    </row>
    <row r="2">
      <c r="A2" s="2" t="inlineStr">
        <is>
          <t>DICOSUR · PETI v0.10 · Restringido · Taller 10 SI-886</t>
        </is>
      </c>
    </row>
    <row r="4">
      <c r="A4" s="3" t="inlineStr">
        <is>
          <t>Entidad</t>
        </is>
      </c>
      <c r="B4" s="3" t="inlineStr">
        <is>
          <t>Sistemas donde reside</t>
        </is>
      </c>
      <c r="C4" s="3" t="inlineStr">
        <is>
          <t>N.º de registros por sistema</t>
        </is>
      </c>
      <c r="D4" s="3" t="inlineStr">
        <is>
          <t>¿Fuente autoritativa?</t>
        </is>
      </c>
      <c r="E4" s="3" t="inlineStr">
        <is>
          <t>Dueño del dato (cargo)</t>
        </is>
      </c>
      <c r="F4" s="3" t="inlineStr">
        <is>
          <t>Discrepancia observada</t>
        </is>
      </c>
      <c r="G4" s="3" t="inlineStr">
        <is>
          <t>Clasificación</t>
        </is>
      </c>
      <c r="H4" s="3" t="inlineStr">
        <is>
          <t>¿Contiene datos personales?</t>
        </is>
      </c>
      <c r="I4" s="3" t="inlineStr">
        <is>
          <t>Fuente autoritativa objetivo</t>
        </is>
      </c>
      <c r="J4" s="3" t="inlineStr">
        <is>
          <t>Dueño objetivo (cargo)</t>
        </is>
      </c>
    </row>
    <row r="5">
      <c r="A5" s="4" t="inlineStr">
        <is>
          <t>Cliente</t>
        </is>
      </c>
      <c r="B5" s="4" t="inlineStr">
        <is>
          <t>ERP; Portal B2B; Hoja comercial</t>
        </is>
      </c>
      <c r="C5" s="4" t="inlineStr">
        <is>
          <t>8 400 / 340 / 8 900</t>
        </is>
      </c>
      <c r="D5" s="5" t="inlineStr">
        <is>
          <t>Ninguna</t>
        </is>
      </c>
      <c r="E5" s="5" t="inlineStr">
        <is>
          <t>Ninguno</t>
        </is>
      </c>
      <c r="F5" s="4" t="inlineStr">
        <is>
          <t>500 clientes de la hoja no existen en el ERP; 340 del portal sin vínculo al código del ERP</t>
        </is>
      </c>
      <c r="G5" s="4" t="inlineStr">
        <is>
          <t>Confidencial</t>
        </is>
      </c>
      <c r="H5" s="4" t="inlineStr">
        <is>
          <t>Sí</t>
        </is>
      </c>
      <c r="I5" s="4" t="inlineStr">
        <is>
          <t>Maestro de clientes del ERP</t>
        </is>
      </c>
      <c r="J5" s="4" t="inlineStr">
        <is>
          <t>Gerente comercial</t>
        </is>
      </c>
    </row>
    <row r="6">
      <c r="A6" s="4" t="inlineStr">
        <is>
          <t>Producto</t>
        </is>
      </c>
      <c r="B6" s="4" t="inlineStr">
        <is>
          <t>ERP; WMS; Hoja de precios</t>
        </is>
      </c>
      <c r="C6" s="4" t="inlineStr">
        <is>
          <t>3 150 / 3 090 / 2 870</t>
        </is>
      </c>
      <c r="D6" s="4" t="inlineStr">
        <is>
          <t>ERP</t>
        </is>
      </c>
      <c r="E6" s="5" t="inlineStr">
        <is>
          <t>Ninguno</t>
        </is>
      </c>
      <c r="F6" s="4" t="inlineStr">
        <is>
          <t>60 SKU sin alta en el WMS; 280 sin precio en la hoja</t>
        </is>
      </c>
      <c r="G6" s="4" t="inlineStr">
        <is>
          <t>Interna</t>
        </is>
      </c>
      <c r="H6" s="4" t="inlineStr">
        <is>
          <t>No</t>
        </is>
      </c>
      <c r="I6" s="4" t="inlineStr">
        <is>
          <t>Maestro de productos del ERP</t>
        </is>
      </c>
      <c r="J6" s="4" t="inlineStr">
        <is>
          <t>Jefe de compras</t>
        </is>
      </c>
    </row>
    <row r="7">
      <c r="A7" s="4" t="inlineStr">
        <is>
          <t>Precio</t>
        </is>
      </c>
      <c r="B7" s="4" t="inlineStr">
        <is>
          <t>ERP; Hoja de precios; Portal B2B</t>
        </is>
      </c>
      <c r="C7" s="4" t="inlineStr">
        <is>
          <t>3 150 / 2 870 / 1 200</t>
        </is>
      </c>
      <c r="D7" s="5" t="inlineStr">
        <is>
          <t>Ninguna</t>
        </is>
      </c>
      <c r="E7" s="5" t="inlineStr">
        <is>
          <t>Ninguno</t>
        </is>
      </c>
      <c r="F7" s="4" t="inlineStr">
        <is>
          <t>214 precios de la hoja difieren del ERP</t>
        </is>
      </c>
      <c r="G7" s="4" t="inlineStr">
        <is>
          <t>Interna</t>
        </is>
      </c>
      <c r="H7" s="4" t="inlineStr">
        <is>
          <t>No</t>
        </is>
      </c>
      <c r="I7" s="4" t="inlineStr">
        <is>
          <t>Lista de precios única del ERP</t>
        </is>
      </c>
      <c r="J7" s="4" t="inlineStr">
        <is>
          <t>Gerente comercial</t>
        </is>
      </c>
    </row>
    <row r="8">
      <c r="A8" s="4" t="inlineStr">
        <is>
          <t>Pedido</t>
        </is>
      </c>
      <c r="B8" s="4" t="inlineStr">
        <is>
          <t>ERP; Portal B2B; WMS</t>
        </is>
      </c>
      <c r="C8" s="4" t="inlineStr">
        <is>
          <t>61 200 / 3 670 / 61 050</t>
        </is>
      </c>
      <c r="D8" s="4" t="inlineStr">
        <is>
          <t>ERP</t>
        </is>
      </c>
      <c r="E8" s="5" t="inlineStr">
        <is>
          <t>Ninguno</t>
        </is>
      </c>
      <c r="F8" s="4" t="inlineStr">
        <is>
          <t>150 pedidos del ERP sin orden de preparación en el WMS</t>
        </is>
      </c>
      <c r="G8" s="4" t="inlineStr">
        <is>
          <t>Confidencial</t>
        </is>
      </c>
      <c r="H8" s="4" t="inlineStr">
        <is>
          <t>Sí (contacto)</t>
        </is>
      </c>
      <c r="I8" s="4" t="inlineStr">
        <is>
          <t>Registro de pedido del ERP vía capa de integración</t>
        </is>
      </c>
      <c r="J8" s="4" t="inlineStr">
        <is>
          <t>Jefe de ventas</t>
        </is>
      </c>
    </row>
    <row r="9">
      <c r="A9" s="4" t="inlineStr">
        <is>
          <t>Comprobante de pago</t>
        </is>
      </c>
      <c r="B9" s="4" t="inlineStr">
        <is>
          <t>ERP; Facturación electrónica</t>
        </is>
      </c>
      <c r="C9" s="4" t="inlineStr">
        <is>
          <t>64 800 / 64 800</t>
        </is>
      </c>
      <c r="D9" s="4" t="inlineStr">
        <is>
          <t>ERP</t>
        </is>
      </c>
      <c r="E9" s="4" t="inlineStr">
        <is>
          <t>Contador general</t>
        </is>
      </c>
      <c r="F9" s="4" t="inlineStr">
        <is>
          <t>0</t>
        </is>
      </c>
      <c r="G9" s="4" t="inlineStr">
        <is>
          <t>Confidencial</t>
        </is>
      </c>
      <c r="H9" s="4" t="inlineStr">
        <is>
          <t>Sí (DNI de personas naturales)</t>
        </is>
      </c>
      <c r="I9" s="4" t="inlineStr">
        <is>
          <t>ERP</t>
        </is>
      </c>
      <c r="J9" s="4" t="inlineStr">
        <is>
          <t>Contador general</t>
        </is>
      </c>
    </row>
    <row r="10">
      <c r="A10" s="4" t="inlineStr">
        <is>
          <t>Inventario (stock)</t>
        </is>
      </c>
      <c r="B10" s="4" t="inlineStr">
        <is>
          <t>ERP; WMS</t>
        </is>
      </c>
      <c r="C10" s="4" t="inlineStr">
        <is>
          <t>3 150 / 3 090</t>
        </is>
      </c>
      <c r="D10" s="5" t="inlineStr">
        <is>
          <t>Ninguna</t>
        </is>
      </c>
      <c r="E10" s="4" t="inlineStr">
        <is>
          <t>Jefe de almacén</t>
        </is>
      </c>
      <c r="F10" s="4" t="inlineStr">
        <is>
          <t>140 SKU con cantidades distintas al inicio del día</t>
        </is>
      </c>
      <c r="G10" s="4" t="inlineStr">
        <is>
          <t>Interna</t>
        </is>
      </c>
      <c r="H10" s="4" t="inlineStr">
        <is>
          <t>No</t>
        </is>
      </c>
      <c r="I10" s="4" t="inlineStr">
        <is>
          <t>Stock del WMS publicado como servicio</t>
        </is>
      </c>
      <c r="J10" s="4" t="inlineStr">
        <is>
          <t>Jefe de almacén</t>
        </is>
      </c>
    </row>
    <row r="11">
      <c r="A11" s="4" t="inlineStr">
        <is>
          <t>Ruta de despacho</t>
        </is>
      </c>
      <c r="B11" s="4" t="inlineStr">
        <is>
          <t>Hoja de ruteo; WMS (guías)</t>
        </is>
      </c>
      <c r="C11" s="4" t="inlineStr">
        <is>
          <t>38 / 38</t>
        </is>
      </c>
      <c r="D11" s="5" t="inlineStr">
        <is>
          <t>Ninguna</t>
        </is>
      </c>
      <c r="E11" s="5" t="inlineStr">
        <is>
          <t>Ninguno</t>
        </is>
      </c>
      <c r="F11" s="4" t="inlineStr">
        <is>
          <t>Las guías del WMS no reflejan los cambios de ruta del día</t>
        </is>
      </c>
      <c r="G11" s="4" t="inlineStr">
        <is>
          <t>Confidencial</t>
        </is>
      </c>
      <c r="H11" s="4" t="inlineStr">
        <is>
          <t>Sí (conductor)</t>
        </is>
      </c>
      <c r="I11" s="4" t="inlineStr">
        <is>
          <t>Planificador de rutas integrado al WMS</t>
        </is>
      </c>
      <c r="J11" s="4" t="inlineStr">
        <is>
          <t>Jefe de despacho</t>
        </is>
      </c>
    </row>
    <row r="12">
      <c r="A12" s="4" t="inlineStr">
        <is>
          <t>Cuenta por cobrar</t>
        </is>
      </c>
      <c r="B12" s="4" t="inlineStr">
        <is>
          <t>ERP; Hoja de cobranza</t>
        </is>
      </c>
      <c r="C12" s="4" t="inlineStr">
        <is>
          <t>2 140 / 2 310</t>
        </is>
      </c>
      <c r="D12" s="5" t="inlineStr">
        <is>
          <t>Ninguna</t>
        </is>
      </c>
      <c r="E12" s="4" t="inlineStr">
        <is>
          <t>Jefe de créditos y cobranzas</t>
        </is>
      </c>
      <c r="F12" s="4" t="inlineStr">
        <is>
          <t>170 acuerdos de pago registrados solo en la hoja</t>
        </is>
      </c>
      <c r="G12" s="4" t="inlineStr">
        <is>
          <t>Confidencial</t>
        </is>
      </c>
      <c r="H12" s="4" t="inlineStr">
        <is>
          <t>Sí</t>
        </is>
      </c>
      <c r="I12" s="4" t="inlineStr">
        <is>
          <t>ERP (módulo Créditos)</t>
        </is>
      </c>
      <c r="J12" s="4" t="inlineStr">
        <is>
          <t>Jefe de créditos y cobranzas</t>
        </is>
      </c>
    </row>
    <row r="13">
      <c r="A13" s="4" t="inlineStr">
        <is>
          <t>Trabajador</t>
        </is>
      </c>
      <c r="B13" s="4" t="inlineStr">
        <is>
          <t>Planilla; ERP; Hoja de personal</t>
        </is>
      </c>
      <c r="C13" s="4" t="inlineStr">
        <is>
          <t>48 / 52 / 48</t>
        </is>
      </c>
      <c r="D13" s="4" t="inlineStr">
        <is>
          <t>Planilla</t>
        </is>
      </c>
      <c r="E13" s="4" t="inlineStr">
        <is>
          <t>Jefe de RR. HH.</t>
        </is>
      </c>
      <c r="F13" s="4" t="inlineStr">
        <is>
          <t>4 usuarios del ERP pertenecen a personal cesado</t>
        </is>
      </c>
      <c r="G13" s="4" t="inlineStr">
        <is>
          <t>Restringida</t>
        </is>
      </c>
      <c r="H13" s="4" t="inlineStr">
        <is>
          <t>Sí, sensibles</t>
        </is>
      </c>
      <c r="I13" s="4" t="inlineStr">
        <is>
          <t>Sistema de planilla</t>
        </is>
      </c>
      <c r="J13" s="4" t="inlineStr">
        <is>
          <t>Jefe de RR. HH.</t>
        </is>
      </c>
    </row>
    <row r="14">
      <c r="A14" s="4" t="inlineStr">
        <is>
          <t>Proveedor</t>
        </is>
      </c>
      <c r="B14" s="4" t="inlineStr">
        <is>
          <t>ERP</t>
        </is>
      </c>
      <c r="C14" s="4" t="inlineStr">
        <is>
          <t>410</t>
        </is>
      </c>
      <c r="D14" s="4" t="inlineStr">
        <is>
          <t>ERP</t>
        </is>
      </c>
      <c r="E14" s="4" t="inlineStr">
        <is>
          <t>Jefe de compras</t>
        </is>
      </c>
      <c r="F14" s="4" t="inlineStr">
        <is>
          <t>0</t>
        </is>
      </c>
      <c r="G14" s="4" t="inlineStr">
        <is>
          <t>Interna</t>
        </is>
      </c>
      <c r="H14" s="4" t="inlineStr">
        <is>
          <t>No</t>
        </is>
      </c>
      <c r="I14" s="4" t="inlineStr">
        <is>
          <t>ERP</t>
        </is>
      </c>
      <c r="J14" s="4" t="inlineStr">
        <is>
          <t>Jefe de compras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38" customWidth="1" min="3" max="3"/>
    <col width="18" customWidth="1" min="4" max="4"/>
    <col width="12" customWidth="1" min="5" max="5"/>
    <col width="60" customWidth="1" min="6" max="6"/>
  </cols>
  <sheetData>
    <row r="1">
      <c r="A1" s="1" t="inlineStr">
        <is>
          <t>Vista de cooperación proceso-aplicación (AR02_procesos_aplicacion.csv)</t>
        </is>
      </c>
    </row>
    <row r="2">
      <c r="A2" s="2" t="inlineStr">
        <is>
          <t>DICOSUR · PETI v0.10 · Restringido · Taller 10 SI-886</t>
        </is>
      </c>
    </row>
    <row r="4">
      <c r="A4" s="3" t="inlineStr">
        <is>
          <t>id</t>
        </is>
      </c>
      <c r="B4" s="3" t="inlineStr">
        <is>
          <t>Proceso</t>
        </is>
      </c>
      <c r="C4" s="3" t="inlineStr">
        <is>
          <t>Sistema que lo soporta</t>
        </is>
      </c>
      <c r="D4" s="3" t="inlineStr">
        <is>
          <t>Aplicaciones</t>
        </is>
      </c>
      <c r="E4" s="3" t="inlineStr">
        <is>
          <t>Nivel</t>
        </is>
      </c>
      <c r="F4" s="3" t="inlineStr">
        <is>
          <t>Evidencia</t>
        </is>
      </c>
    </row>
    <row r="5">
      <c r="A5" s="4" t="inlineStr">
        <is>
          <t>PRO-01</t>
        </is>
      </c>
      <c r="B5" s="4" t="inlineStr">
        <is>
          <t>Abastecimiento</t>
        </is>
      </c>
      <c r="C5" s="4" t="inlineStr">
        <is>
          <t>ERP Compras</t>
        </is>
      </c>
      <c r="D5" s="4" t="inlineStr">
        <is>
          <t>APP-01</t>
        </is>
      </c>
      <c r="E5" s="4" t="inlineStr">
        <is>
          <t>Bueno</t>
        </is>
      </c>
      <c r="F5" s="4" t="inlineStr">
        <is>
          <t>Órdenes de compra y recepción registradas en el ERP</t>
        </is>
      </c>
    </row>
    <row r="6">
      <c r="A6" s="4" t="inlineStr">
        <is>
          <t>PRO-02</t>
        </is>
      </c>
      <c r="B6" s="4" t="inlineStr">
        <is>
          <t>Toma de pedido</t>
        </is>
      </c>
      <c r="C6" s="4" t="inlineStr">
        <is>
          <t>Teléfono + papel + Portal B2B (6 %)</t>
        </is>
      </c>
      <c r="D6" s="4" t="inlineStr">
        <is>
          <t>APP-02; APP-08</t>
        </is>
      </c>
      <c r="E6" s="4" t="inlineStr">
        <is>
          <t>Deficiente</t>
        </is>
      </c>
      <c r="F6" s="4" t="inlineStr">
        <is>
          <t>94 % de los pedidos por teléfono o papel; los del portal se vuelven a digitar (INT-02)</t>
        </is>
      </c>
    </row>
    <row r="7">
      <c r="A7" s="4" t="inlineStr">
        <is>
          <t>PRO-03</t>
        </is>
      </c>
      <c r="B7" s="4" t="inlineStr">
        <is>
          <t>Aprobación de crédito</t>
        </is>
      </c>
      <c r="C7" s="4" t="inlineStr">
        <is>
          <t>ERP Créditos</t>
        </is>
      </c>
      <c r="D7" s="4" t="inlineStr">
        <is>
          <t>APP-01</t>
        </is>
      </c>
      <c r="E7" s="4" t="inlineStr">
        <is>
          <t>Bueno</t>
        </is>
      </c>
      <c r="F7" s="4" t="inlineStr">
        <is>
          <t>Límite de crédito por cliente controlado en el ERP</t>
        </is>
      </c>
    </row>
    <row r="8">
      <c r="A8" s="4" t="inlineStr">
        <is>
          <t>PRO-04</t>
        </is>
      </c>
      <c r="B8" s="4" t="inlineStr">
        <is>
          <t>Preparación del pedido</t>
        </is>
      </c>
      <c r="C8" s="4" t="inlineStr">
        <is>
          <t>WMS + lectores de código de barras</t>
        </is>
      </c>
      <c r="D8" s="4" t="inlineStr">
        <is>
          <t>APP-03</t>
        </is>
      </c>
      <c r="E8" s="4" t="inlineStr">
        <is>
          <t>Bueno</t>
        </is>
      </c>
      <c r="F8" s="4" t="inlineStr">
        <is>
          <t>Preparación con lectura de código; stock sincronizado de noche (INT-01)</t>
        </is>
      </c>
    </row>
    <row r="9">
      <c r="A9" s="4" t="inlineStr">
        <is>
          <t>PRO-05</t>
        </is>
      </c>
      <c r="B9" s="4" t="inlineStr">
        <is>
          <t>Ruteo y despacho</t>
        </is>
      </c>
      <c r="C9" s="4" t="inlineStr">
        <is>
          <t>HOJA DE CÁLCULO de ruteo</t>
        </is>
      </c>
      <c r="D9" s="4" t="inlineStr">
        <is>
          <t>APP-06</t>
        </is>
      </c>
      <c r="E9" s="4" t="inlineStr">
        <is>
          <t>Deficiente</t>
        </is>
      </c>
      <c r="F9" s="4" t="inlineStr">
        <is>
          <t>38 rutas armadas a mano cada noche; 22 % del costo operativo</t>
        </is>
      </c>
    </row>
    <row r="10">
      <c r="A10" s="4" t="inlineStr">
        <is>
          <t>PRO-06</t>
        </is>
      </c>
      <c r="B10" s="4" t="inlineStr">
        <is>
          <t>Facturación</t>
        </is>
      </c>
      <c r="C10" s="4" t="inlineStr">
        <is>
          <t>ERP Ventas + facturación electrónica</t>
        </is>
      </c>
      <c r="D10" s="4" t="inlineStr">
        <is>
          <t>APP-01; APP-05</t>
        </is>
      </c>
      <c r="E10" s="4" t="inlineStr">
        <is>
          <t>Bueno</t>
        </is>
      </c>
      <c r="F10" s="4" t="inlineStr">
        <is>
          <t>Comprobantes emitidos en línea (INT-04)</t>
        </is>
      </c>
    </row>
    <row r="11">
      <c r="A11" s="4" t="inlineStr">
        <is>
          <t>PRO-07</t>
        </is>
      </c>
      <c r="B11" s="4" t="inlineStr">
        <is>
          <t>Cobranza</t>
        </is>
      </c>
      <c r="C11" s="4" t="inlineStr">
        <is>
          <t>ERP + hoja de cálculo de cobranza</t>
        </is>
      </c>
      <c r="D11" s="4" t="inlineStr">
        <is>
          <t>APP-01; APP-09</t>
        </is>
      </c>
      <c r="E11" s="4" t="inlineStr">
        <is>
          <t>Parcial</t>
        </is>
      </c>
      <c r="F11" s="4" t="inlineStr">
        <is>
          <t>170 acuerdos de pago existen solo en la hoja</t>
        </is>
      </c>
    </row>
    <row r="12">
      <c r="A12" s="4" t="inlineStr">
        <is>
          <t>PRO-08</t>
        </is>
      </c>
      <c r="B12" s="4" t="inlineStr">
        <is>
          <t>Atención de reclamos</t>
        </is>
      </c>
      <c r="C12" s="4" t="inlineStr">
        <is>
          <t>CORREO electrónico</t>
        </is>
      </c>
      <c r="D12" s="4" t="inlineStr">
        <is>
          <t>APP-12</t>
        </is>
      </c>
      <c r="E12" s="4" t="inlineStr">
        <is>
          <t>Deficiente</t>
        </is>
      </c>
      <c r="F12" s="4" t="inlineStr">
        <is>
          <t>Sin registro ni seguimiento del reclamo</t>
        </is>
      </c>
    </row>
    <row r="13">
      <c r="A13" s="4" t="inlineStr">
        <is>
          <t>PRO-09</t>
        </is>
      </c>
      <c r="B13" s="4" t="inlineStr">
        <is>
          <t>Análisis comercial y reportes</t>
        </is>
      </c>
      <c r="C13" s="4" t="inlineStr">
        <is>
          <t>HOJAS DE CÁLCULO</t>
        </is>
      </c>
      <c r="D13" s="4" t="inlineStr">
        <is>
          <t>APP-07; APP-11</t>
        </is>
      </c>
      <c r="E13" s="4" t="inlineStr">
        <is>
          <t>Deficiente</t>
        </is>
      </c>
      <c r="F13" s="4" t="inlineStr">
        <is>
          <t>Reportes armados a mano en 3 días al cierre de cada mes</t>
        </is>
      </c>
    </row>
    <row r="14">
      <c r="A14" s="4" t="inlineStr">
        <is>
          <t>PRO-10</t>
        </is>
      </c>
      <c r="B14" s="4" t="inlineStr">
        <is>
          <t>Gestión de personal y planilla</t>
        </is>
      </c>
      <c r="C14" s="4" t="inlineStr">
        <is>
          <t>Sistema de planilla + hoja de personal</t>
        </is>
      </c>
      <c r="D14" s="4" t="inlineStr">
        <is>
          <t>APP-04; APP-10</t>
        </is>
      </c>
      <c r="E14" s="4" t="inlineStr">
        <is>
          <t>Parcial</t>
        </is>
      </c>
      <c r="F14" s="4" t="inlineStr">
        <is>
          <t>Planilla en sistema; datos de personal duplicados en hoja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Indicadores de la arquitectura actual</t>
        </is>
      </c>
    </row>
    <row r="2">
      <c r="A2" t="inlineStr">
        <is>
          <t>Calculados con fórmulas sobre las hojas Entidades y Cooperación</t>
        </is>
      </c>
    </row>
    <row r="4">
      <c r="A4" s="6" t="inlineStr">
        <is>
          <t>Indicador</t>
        </is>
      </c>
      <c r="B4" s="6" t="inlineStr">
        <is>
          <t>N</t>
        </is>
      </c>
      <c r="C4" s="6" t="inlineStr">
        <is>
          <t>M</t>
        </is>
      </c>
    </row>
    <row r="5">
      <c r="A5" s="7" t="inlineStr">
        <is>
          <t>Entidades sin fuente autoritativa</t>
        </is>
      </c>
      <c r="B5" s="7">
        <f>COUNTIF(Entidades!D5:D14,"Ninguna")</f>
        <v/>
      </c>
      <c r="C5" s="7">
        <f>COUNTA(Entidades!A5:A14)</f>
        <v/>
      </c>
    </row>
    <row r="6">
      <c r="A6" s="7" t="inlineStr">
        <is>
          <t>Entidades sin dueño de dato</t>
        </is>
      </c>
      <c r="B6" s="7">
        <f>COUNTIF(Entidades!E5:E14,"Ninguno")</f>
        <v/>
      </c>
      <c r="C6" s="7">
        <f>COUNTA(Entidades!A5:A14)</f>
        <v/>
      </c>
    </row>
    <row r="7">
      <c r="A7" s="7" t="inlineStr">
        <is>
          <t>Entidades sin fuente ni dueño</t>
        </is>
      </c>
      <c r="B7" s="7">
        <f>COUNTIFS(Entidades!D5:D14,"Ninguna",Entidades!E5:E14,"Ninguno")</f>
        <v/>
      </c>
      <c r="C7" s="7">
        <f>COUNTA(Entidades!A5:A14)</f>
        <v/>
      </c>
    </row>
    <row r="8">
      <c r="A8" s="7" t="inlineStr">
        <is>
          <t>Entidades con datos personales</t>
        </is>
      </c>
      <c r="B8" s="7">
        <f>COUNTIF(Entidades!H5:H14,"Sí*")</f>
        <v/>
      </c>
      <c r="C8" s="7">
        <f>COUNTA(Entidades!A5:A14)</f>
        <v/>
      </c>
    </row>
    <row r="9">
      <c r="A9" s="7" t="inlineStr">
        <is>
          <t>Procesos con soporte deficiente</t>
        </is>
      </c>
      <c r="B9" s="7">
        <f>COUNTIF(Cooperación!E5:E14,"Deficiente")</f>
        <v/>
      </c>
      <c r="C9" s="7">
        <f>COUNTA(Cooperación!A5:A14)</f>
        <v/>
      </c>
    </row>
    <row r="10">
      <c r="A10" s="7" t="inlineStr">
        <is>
          <t>Procesos con soporte parcial</t>
        </is>
      </c>
      <c r="B10" s="7">
        <f>COUNTIF(Cooperación!E5:E14,"Parcial")</f>
        <v/>
      </c>
      <c r="C10" s="7">
        <f>COUNTA(Cooperación!A5:A14)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2026-10-15T17:42:16Z</dcterms:created>
  <dcterms:modified xmlns:dcterms="http://purl.org/dc/terms/" xmlns:xsi="http://www.w3.org/2001/XMLSchema-instance" xsi:type="dcterms:W3CDTF">2026-10-15T17:42:16Z</dcterms:modified>
</cp:coreProperties>
</file>