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s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22" customWidth="1" min="4" max="4"/>
    <col width="20" customWidth="1" min="5" max="5"/>
    <col width="11" customWidth="1" min="6" max="6"/>
    <col width="10" customWidth="1" min="7" max="7"/>
    <col width="16" customWidth="1" min="8" max="8"/>
    <col width="9" customWidth="1" min="9" max="9"/>
    <col width="34" customWidth="1" min="10" max="10"/>
  </cols>
  <sheetData>
    <row r="1">
      <c r="A1" s="1" t="inlineStr">
        <is>
          <t>Anexo E · Análisis de brechas (AR03_brechas.csv)</t>
        </is>
      </c>
    </row>
    <row r="2">
      <c r="A2" s="2" t="inlineStr">
        <is>
          <t>Municipalidad Distrital de Alto Selva · PETI v0.10 · Restringido · Taller 10 SI-886</t>
        </is>
      </c>
    </row>
    <row r="4">
      <c r="A4" s="3" t="inlineStr">
        <is>
          <t>id</t>
        </is>
      </c>
      <c r="B4" s="3" t="inlineStr">
        <is>
          <t>capa</t>
        </is>
      </c>
      <c r="C4" s="3" t="inlineStr">
        <is>
          <t>brecha</t>
        </is>
      </c>
      <c r="D4" s="3" t="inlineStr">
        <is>
          <t>elemento_actual</t>
        </is>
      </c>
      <c r="E4" s="3" t="inlineStr">
        <is>
          <t>elemento_objetivo</t>
        </is>
      </c>
      <c r="F4" s="3" t="inlineStr">
        <is>
          <t>tipo</t>
        </is>
      </c>
      <c r="G4" s="3" t="inlineStr">
        <is>
          <t>esfuerzo_sem</t>
        </is>
      </c>
      <c r="H4" s="3" t="inlineStr">
        <is>
          <t>dependencias</t>
        </is>
      </c>
      <c r="I4" s="3" t="inlineStr">
        <is>
          <t>paquete</t>
        </is>
      </c>
      <c r="J4" s="3" t="inlineStr">
        <is>
          <t>origen</t>
        </is>
      </c>
    </row>
    <row r="5">
      <c r="A5" s="4" t="inlineStr">
        <is>
          <t>B-01</t>
        </is>
      </c>
      <c r="B5" s="4" t="inlineStr">
        <is>
          <t>Negocio</t>
        </is>
      </c>
      <c r="C5" s="4" t="inlineStr">
        <is>
          <t>Sin Comité ni Líder de Gobierno Digital designados</t>
        </is>
      </c>
      <c r="D5" s="4" t="inlineStr">
        <is>
          <t>—</t>
        </is>
      </c>
      <c r="E5" s="4" t="inlineStr">
        <is>
          <t>ACT-09; ROL-05</t>
        </is>
      </c>
      <c r="F5" s="4" t="inlineStr">
        <is>
          <t>Nuevo</t>
        </is>
      </c>
      <c r="G5" s="4" t="n">
        <v>2</v>
      </c>
      <c r="H5" s="4" t="inlineStr">
        <is>
          <t>—</t>
        </is>
      </c>
      <c r="I5" s="4" t="inlineStr">
        <is>
          <t>WP-01</t>
        </is>
      </c>
      <c r="J5" s="4" t="inlineStr">
        <is>
          <t>AP-01 · H-01 · R.M. 119-2018-PCM</t>
        </is>
      </c>
    </row>
    <row r="6">
      <c r="A6" s="4" t="inlineStr">
        <is>
          <t>B-02</t>
        </is>
      </c>
      <c r="B6" s="4" t="inlineStr">
        <is>
          <t>Negocio</t>
        </is>
      </c>
      <c r="C6" s="4" t="inlineStr">
        <is>
          <t>Sin Plan de Gobierno Digital ni PETI aprobados</t>
        </is>
      </c>
      <c r="D6" s="4" t="inlineStr">
        <is>
          <t>—</t>
        </is>
      </c>
      <c r="E6" s="4" t="inlineStr">
        <is>
          <t>PRO-09</t>
        </is>
      </c>
      <c r="F6" s="4" t="inlineStr">
        <is>
          <t>Nuevo</t>
        </is>
      </c>
      <c r="G6" s="4" t="n">
        <v>6</v>
      </c>
      <c r="H6" s="4" t="inlineStr">
        <is>
          <t>B-01</t>
        </is>
      </c>
      <c r="I6" s="4" t="inlineStr">
        <is>
          <t>WP-01</t>
        </is>
      </c>
      <c r="J6" s="4" t="inlineStr">
        <is>
          <t>AP-01 · H-01 · H-02 · D. Leg. 1412</t>
        </is>
      </c>
    </row>
    <row r="7">
      <c r="A7" s="4" t="inlineStr">
        <is>
          <t>B-03</t>
        </is>
      </c>
      <c r="B7" s="4" t="inlineStr">
        <is>
          <t>Negocio</t>
        </is>
      </c>
      <c r="C7" s="4" t="inlineStr">
        <is>
          <t>Sin dueños de dato designados por cargo</t>
        </is>
      </c>
      <c r="D7" s="4" t="inlineStr">
        <is>
          <t>—</t>
        </is>
      </c>
      <c r="E7" s="4" t="inlineStr">
        <is>
          <t>ROL-04</t>
        </is>
      </c>
      <c r="F7" s="4" t="inlineStr">
        <is>
          <t>Nuevo</t>
        </is>
      </c>
      <c r="G7" s="4" t="n">
        <v>2</v>
      </c>
      <c r="H7" s="4" t="inlineStr">
        <is>
          <t>B-01</t>
        </is>
      </c>
      <c r="I7" s="4" t="inlineStr">
        <is>
          <t>WP-01</t>
        </is>
      </c>
      <c r="J7" s="4" t="inlineStr">
        <is>
          <t>AP-02 · H-09</t>
        </is>
      </c>
    </row>
    <row r="8">
      <c r="A8" s="4" t="inlineStr">
        <is>
          <t>B-04</t>
        </is>
      </c>
      <c r="B8" s="4" t="inlineStr">
        <is>
          <t>Datos</t>
        </is>
      </c>
      <c r="C8" s="4" t="inlineStr">
        <is>
          <t>Datos personales sin registro de actividades de tratamiento</t>
        </is>
      </c>
      <c r="D8" s="4" t="inlineStr">
        <is>
          <t>—</t>
        </is>
      </c>
      <c r="E8" s="4" t="inlineStr">
        <is>
          <t>DO-09</t>
        </is>
      </c>
      <c r="F8" s="4" t="inlineStr">
        <is>
          <t>Nuevo</t>
        </is>
      </c>
      <c r="G8" s="4" t="n">
        <v>3</v>
      </c>
      <c r="H8" s="4" t="inlineStr">
        <is>
          <t>B-03</t>
        </is>
      </c>
      <c r="I8" s="4" t="inlineStr">
        <is>
          <t>WP-02</t>
        </is>
      </c>
      <c r="J8" s="4" t="inlineStr">
        <is>
          <t>AP-07 · H-10 · Ley 29733 · D. S. 016-2024-JUS</t>
        </is>
      </c>
    </row>
    <row r="9">
      <c r="A9" s="4" t="inlineStr">
        <is>
          <t>B-05</t>
        </is>
      </c>
      <c r="B9" s="4" t="inlineStr">
        <is>
          <t>Tecnología</t>
        </is>
      </c>
      <c r="C9" s="4" t="inlineStr">
        <is>
          <t>Respaldo a disco local sin restauración probada ni copia fuera de la sede</t>
        </is>
      </c>
      <c r="D9" s="4" t="inlineStr">
        <is>
          <t>TSV-03</t>
        </is>
      </c>
      <c r="E9" s="4" t="inlineStr">
        <is>
          <t>TSV-03O; NOD-06</t>
        </is>
      </c>
      <c r="F9" s="4" t="inlineStr">
        <is>
          <t>Modificar</t>
        </is>
      </c>
      <c r="G9" s="4" t="n">
        <v>3</v>
      </c>
      <c r="H9" s="4" t="inlineStr">
        <is>
          <t>—</t>
        </is>
      </c>
      <c r="I9" s="4" t="inlineStr">
        <is>
          <t>WP-04</t>
        </is>
      </c>
      <c r="J9" s="4" t="inlineStr">
        <is>
          <t>AP-03 · H-05 · COBIT DSS04</t>
        </is>
      </c>
    </row>
    <row r="10">
      <c r="A10" s="4" t="inlineStr">
        <is>
          <t>B-06</t>
        </is>
      </c>
      <c r="B10" s="4" t="inlineStr">
        <is>
          <t>Tecnología</t>
        </is>
      </c>
      <c r="C10" s="4" t="inlineStr">
        <is>
          <t>Servidor único sin autonomía de energía</t>
        </is>
      </c>
      <c r="D10" s="4" t="inlineStr">
        <is>
          <t>NOD-01</t>
        </is>
      </c>
      <c r="E10" s="4" t="inlineStr">
        <is>
          <t>NOD-01O</t>
        </is>
      </c>
      <c r="F10" s="4" t="inlineStr">
        <is>
          <t>Modificar</t>
        </is>
      </c>
      <c r="G10" s="4" t="n">
        <v>4</v>
      </c>
      <c r="H10" s="4" t="inlineStr">
        <is>
          <t>—</t>
        </is>
      </c>
      <c r="I10" s="4" t="inlineStr">
        <is>
          <t>WP-04</t>
        </is>
      </c>
      <c r="J10" s="4" t="inlineStr">
        <is>
          <t>AP-03 · H-04 · H-05</t>
        </is>
      </c>
    </row>
    <row r="11">
      <c r="A11" s="4" t="inlineStr">
        <is>
          <t>B-07</t>
        </is>
      </c>
      <c r="B11" s="4" t="inlineStr">
        <is>
          <t>Aplicación</t>
        </is>
      </c>
      <c r="C11" s="4" t="inlineStr">
        <is>
          <t>Rentas y catastro con soporte vencido desde 2023</t>
        </is>
      </c>
      <c r="D11" s="4" t="inlineStr">
        <is>
          <t>APP-03</t>
        </is>
      </c>
      <c r="E11" s="4" t="inlineStr">
        <is>
          <t>APP-03O</t>
        </is>
      </c>
      <c r="F11" s="4" t="inlineStr">
        <is>
          <t>Modificar</t>
        </is>
      </c>
      <c r="G11" s="4" t="n">
        <v>6</v>
      </c>
      <c r="H11" s="4" t="inlineStr">
        <is>
          <t>B-05; B-06</t>
        </is>
      </c>
      <c r="I11" s="4" t="inlineStr">
        <is>
          <t>WP-05</t>
        </is>
      </c>
      <c r="J11" s="4" t="inlineStr">
        <is>
          <t>AP-03 · AP-04 · H-04 · incidente (Ficha §G)</t>
        </is>
      </c>
    </row>
    <row r="12">
      <c r="A12" s="4" t="inlineStr">
        <is>
          <t>B-08</t>
        </is>
      </c>
      <c r="B12" s="4" t="inlineStr">
        <is>
          <t>Aplicación</t>
        </is>
      </c>
      <c r="C12" s="4" t="inlineStr">
        <is>
          <t>Trámite documentario sin soporte · código ni documentación</t>
        </is>
      </c>
      <c r="D12" s="4" t="inlineStr">
        <is>
          <t>APP-02</t>
        </is>
      </c>
      <c r="E12" s="4" t="inlineStr">
        <is>
          <t>APP-02O</t>
        </is>
      </c>
      <c r="F12" s="4" t="inlineStr">
        <is>
          <t>Reemplazar</t>
        </is>
      </c>
      <c r="G12" s="4" t="n">
        <v>12</v>
      </c>
      <c r="H12" s="4" t="inlineStr">
        <is>
          <t>B-05; B-06</t>
        </is>
      </c>
      <c r="I12" s="4" t="inlineStr">
        <is>
          <t>WP-05</t>
        </is>
      </c>
      <c r="J12" s="4" t="inlineStr">
        <is>
          <t>AP-04 · H-03</t>
        </is>
      </c>
    </row>
    <row r="13">
      <c r="A13" s="4" t="inlineStr">
        <is>
          <t>B-09</t>
        </is>
      </c>
      <c r="B13" s="4" t="inlineStr">
        <is>
          <t>Datos</t>
        </is>
      </c>
      <c r="C13" s="4" t="inlineStr">
        <is>
          <t>Expediente sin fuente digital (el físico manda · 1 340 sin estado)</t>
        </is>
      </c>
      <c r="D13" s="4" t="inlineStr">
        <is>
          <t>DO-04; DO-05</t>
        </is>
      </c>
      <c r="E13" s="4" t="inlineStr">
        <is>
          <t>DO-04O</t>
        </is>
      </c>
      <c r="F13" s="4" t="inlineStr">
        <is>
          <t>Modificar</t>
        </is>
      </c>
      <c r="G13" s="4" t="n">
        <v>4</v>
      </c>
      <c r="H13" s="4" t="inlineStr">
        <is>
          <t>B-03; B-08</t>
        </is>
      </c>
      <c r="I13" s="4" t="inlineStr">
        <is>
          <t>WP-03</t>
        </is>
      </c>
      <c r="J13" s="4" t="inlineStr">
        <is>
          <t>AP-02 · AP-05 · H-09</t>
        </is>
      </c>
    </row>
    <row r="14">
      <c r="A14" s="4" t="inlineStr">
        <is>
          <t>B-10</t>
        </is>
      </c>
      <c r="B14" s="4" t="inlineStr">
        <is>
          <t>Datos</t>
        </is>
      </c>
      <c r="C14" s="4" t="inlineStr">
        <is>
          <t>Deuda del contribuyente distinta en rentas y fiscalización</t>
        </is>
      </c>
      <c r="D14" s="4" t="inlineStr">
        <is>
          <t>DO-01; DO-02</t>
        </is>
      </c>
      <c r="E14" s="4" t="inlineStr">
        <is>
          <t>DO-01</t>
        </is>
      </c>
      <c r="F14" s="4" t="inlineStr">
        <is>
          <t>Modificar</t>
        </is>
      </c>
      <c r="G14" s="4" t="n">
        <v>3</v>
      </c>
      <c r="H14" s="4" t="inlineStr">
        <is>
          <t>B-03; B-07</t>
        </is>
      </c>
      <c r="I14" s="4" t="inlineStr">
        <is>
          <t>WP-03</t>
        </is>
      </c>
      <c r="J14" s="4" t="inlineStr">
        <is>
          <t>AP-02 · H-09</t>
        </is>
      </c>
    </row>
    <row r="15">
      <c r="A15" s="4" t="inlineStr">
        <is>
          <t>B-11</t>
        </is>
      </c>
      <c r="B15" s="4" t="inlineStr">
        <is>
          <t>Aplicación</t>
        </is>
      </c>
      <c r="C15" s="4" t="inlineStr">
        <is>
          <t>Mesa de partes virtual por formulario y correo que se imprime</t>
        </is>
      </c>
      <c r="D15" s="4" t="inlineStr">
        <is>
          <t>APP-05; AIF-01</t>
        </is>
      </c>
      <c r="E15" s="4" t="inlineStr">
        <is>
          <t>AIF-04</t>
        </is>
      </c>
      <c r="F15" s="4" t="inlineStr">
        <is>
          <t>Reemplazar</t>
        </is>
      </c>
      <c r="G15" s="4" t="n">
        <v>3</v>
      </c>
      <c r="H15" s="4" t="inlineStr">
        <is>
          <t>B-08</t>
        </is>
      </c>
      <c r="I15" s="4" t="inlineStr">
        <is>
          <t>WP-06</t>
        </is>
      </c>
      <c r="J15" s="4" t="inlineStr">
        <is>
          <t>AP-06 · H-06</t>
        </is>
      </c>
    </row>
    <row r="16">
      <c r="A16" s="4" t="inlineStr">
        <is>
          <t>B-12</t>
        </is>
      </c>
      <c r="B16" s="4" t="inlineStr">
        <is>
          <t>Aplicación</t>
        </is>
      </c>
      <c r="C16" s="4" t="inlineStr">
        <is>
          <t>Integraciones manuales (correo impreso · recaudación digitada al SIAF-SP)</t>
        </is>
      </c>
      <c r="D16" s="4" t="inlineStr">
        <is>
          <t>—</t>
        </is>
      </c>
      <c r="E16" s="4" t="inlineStr">
        <is>
          <t>APP-11; AIF-03</t>
        </is>
      </c>
      <c r="F16" s="4" t="inlineStr">
        <is>
          <t>Nuevo</t>
        </is>
      </c>
      <c r="G16" s="4" t="n">
        <v>6</v>
      </c>
      <c r="H16" s="4" t="inlineStr">
        <is>
          <t>B-07; B-08</t>
        </is>
      </c>
      <c r="I16" s="4" t="inlineStr">
        <is>
          <t>WP-07</t>
        </is>
      </c>
      <c r="J16" s="4" t="inlineStr">
        <is>
          <t>AP-06 · H-06 · D. Leg. 1412</t>
        </is>
      </c>
    </row>
    <row r="17">
      <c r="A17" s="4" t="inlineStr">
        <is>
          <t>B-13</t>
        </is>
      </c>
      <c r="B17" s="4" t="inlineStr">
        <is>
          <t>Negocio</t>
        </is>
      </c>
      <c r="C17" s="4" t="inlineStr">
        <is>
          <t>Registro civil en papel · sin sistema</t>
        </is>
      </c>
      <c r="D17" s="4" t="inlineStr">
        <is>
          <t>PRO-04</t>
        </is>
      </c>
      <c r="E17" s="4" t="inlineStr">
        <is>
          <t>PRO-04O; APP-12; DO-10</t>
        </is>
      </c>
      <c r="F17" s="4" t="inlineStr">
        <is>
          <t>Nuevo</t>
        </is>
      </c>
      <c r="G17" s="4" t="n">
        <v>8</v>
      </c>
      <c r="H17" s="4" t="inlineStr">
        <is>
          <t>B-04; B-12</t>
        </is>
      </c>
      <c r="I17" s="4" t="inlineStr">
        <is>
          <t>WP-06</t>
        </is>
      </c>
      <c r="J17" s="4" t="inlineStr">
        <is>
          <t>AP-05 · AP-06 · H-08</t>
        </is>
      </c>
    </row>
    <row r="18">
      <c r="A18" s="4" t="inlineStr">
        <is>
          <t>B-14</t>
        </is>
      </c>
      <c r="B18" s="4" t="inlineStr">
        <is>
          <t>Negocio</t>
        </is>
      </c>
      <c r="C18" s="4" t="inlineStr">
        <is>
          <t>Licencias con fuente en el archivo físico y plazos discrepantes</t>
        </is>
      </c>
      <c r="D18" s="4" t="inlineStr">
        <is>
          <t>PRO-03; DO-06</t>
        </is>
      </c>
      <c r="E18" s="4" t="inlineStr">
        <is>
          <t>PRO-03O; DO-06O</t>
        </is>
      </c>
      <c r="F18" s="4" t="inlineStr">
        <is>
          <t>Modificar</t>
        </is>
      </c>
      <c r="G18" s="4" t="n">
        <v>3</v>
      </c>
      <c r="H18" s="4" t="inlineStr">
        <is>
          <t>B-08</t>
        </is>
      </c>
      <c r="I18" s="4" t="inlineStr">
        <is>
          <t>WP-06</t>
        </is>
      </c>
      <c r="J18" s="4" t="inlineStr">
        <is>
          <t>AP-05 · H-07</t>
        </is>
      </c>
    </row>
    <row r="19">
      <c r="A19" s="4" t="inlineStr">
        <is>
          <t>B-15</t>
        </is>
      </c>
      <c r="B19" s="4" t="inlineStr">
        <is>
          <t>Aplicación</t>
        </is>
      </c>
      <c r="C19" s="4" t="inlineStr">
        <is>
          <t>Tres hojas de cálculo operan como sistema</t>
        </is>
      </c>
      <c r="D19" s="4" t="inlineStr">
        <is>
          <t>APP-06; APP-07; APP-08</t>
        </is>
      </c>
      <c r="E19" s="4" t="inlineStr">
        <is>
          <t>—</t>
        </is>
      </c>
      <c r="F19" s="4" t="inlineStr">
        <is>
          <t>Retirar</t>
        </is>
      </c>
      <c r="G19" s="4" t="n">
        <v>2</v>
      </c>
      <c r="H19" s="4" t="inlineStr">
        <is>
          <t>B-09; B-10; B-14</t>
        </is>
      </c>
      <c r="I19" s="4" t="inlineStr">
        <is>
          <t>WP-03</t>
        </is>
      </c>
      <c r="J19" s="4" t="inlineStr">
        <is>
          <t>AP-05 · H-07</t>
        </is>
      </c>
    </row>
    <row r="20">
      <c r="A20" s="4" t="inlineStr">
        <is>
          <t>B-16</t>
        </is>
      </c>
      <c r="B20" s="4" t="inlineStr">
        <is>
          <t>Tecnología</t>
        </is>
      </c>
      <c r="C20" s="4" t="inlineStr">
        <is>
          <t>Red plana sin segmentación y sin segundo factor</t>
        </is>
      </c>
      <c r="D20" s="4" t="inlineStr">
        <is>
          <t>NET-01</t>
        </is>
      </c>
      <c r="E20" s="4" t="inlineStr">
        <is>
          <t>NET-01O; TSV-05</t>
        </is>
      </c>
      <c r="F20" s="4" t="inlineStr">
        <is>
          <t>Modificar</t>
        </is>
      </c>
      <c r="G20" s="4" t="n">
        <v>4</v>
      </c>
      <c r="H20" s="4" t="inlineStr">
        <is>
          <t>B-06</t>
        </is>
      </c>
      <c r="I20" s="4" t="inlineStr">
        <is>
          <t>WP-02</t>
        </is>
      </c>
      <c r="J20" s="4" t="inlineStr">
        <is>
          <t>AP-07 · H-10 · H-11</t>
        </is>
      </c>
    </row>
    <row r="21">
      <c r="A21" s="4" t="inlineStr">
        <is>
          <t>B-17</t>
        </is>
      </c>
      <c r="B21" s="4" t="inlineStr">
        <is>
          <t>Negocio</t>
        </is>
      </c>
      <c r="C21" s="4" t="inlineStr">
        <is>
          <t>Gestión de TI informal: cambios sin registro · incidentes en cuaderno · sin inventario de activos</t>
        </is>
      </c>
      <c r="D21" s="4" t="inlineStr">
        <is>
          <t>—</t>
        </is>
      </c>
      <c r="E21" s="4" t="inlineStr">
        <is>
          <t>APP-13; DO-11</t>
        </is>
      </c>
      <c r="F21" s="4" t="inlineStr">
        <is>
          <t>Nuevo</t>
        </is>
      </c>
      <c r="G21" s="4" t="n">
        <v>3</v>
      </c>
      <c r="H21" s="4" t="inlineStr">
        <is>
          <t>B-01</t>
        </is>
      </c>
      <c r="I21" s="4" t="inlineStr">
        <is>
          <t>WP-08</t>
        </is>
      </c>
      <c r="J21" s="4" t="inlineStr">
        <is>
          <t>AP-04 · H-12 · COBIT BAI06 y DSS02</t>
        </is>
      </c>
    </row>
    <row r="22">
      <c r="A22" s="4" t="inlineStr">
        <is>
          <t>B-18</t>
        </is>
      </c>
      <c r="B22" s="4" t="inlineStr">
        <is>
          <t>Negocio</t>
        </is>
      </c>
      <c r="C22" s="4" t="inlineStr">
        <is>
          <t>Atención al ciudadano sin seguimiento del trámite</t>
        </is>
      </c>
      <c r="D22" s="4" t="inlineStr">
        <is>
          <t>PRO-06</t>
        </is>
      </c>
      <c r="E22" s="4" t="inlineStr">
        <is>
          <t>PRO-06O; ASV-06</t>
        </is>
      </c>
      <c r="F22" s="4" t="inlineStr">
        <is>
          <t>Modificar</t>
        </is>
      </c>
      <c r="G22" s="4" t="n">
        <v>2</v>
      </c>
      <c r="H22" s="4" t="inlineStr">
        <is>
          <t>B-11</t>
        </is>
      </c>
      <c r="I22" s="4" t="inlineStr">
        <is>
          <t>WP-06</t>
        </is>
      </c>
      <c r="J22" s="4" t="inlineStr">
        <is>
          <t>AP-06 · H-06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26" customWidth="1" min="4" max="4"/>
    <col width="18" customWidth="1" min="5" max="5"/>
    <col width="32" customWidth="1" min="6" max="6"/>
    <col width="14" customWidth="1" min="7" max="7"/>
  </cols>
  <sheetData>
    <row r="1">
      <c r="A1" s="1" t="inlineStr">
        <is>
          <t>Paquetes de trabajo y secuencia obligada (salida de AR03_brechas.py)</t>
        </is>
      </c>
    </row>
    <row r="2">
      <c r="A2" s="2" t="inlineStr">
        <is>
          <t>Municipalidad Distrital de Alto Selva · PETI v0.10 · Restringido · Taller 10 SI-886</t>
        </is>
      </c>
    </row>
    <row r="4">
      <c r="A4" s="3" t="inlineStr">
        <is>
          <t>ola</t>
        </is>
      </c>
      <c r="B4" s="3" t="inlineStr">
        <is>
          <t>paquete</t>
        </is>
      </c>
      <c r="C4" s="3" t="inlineStr">
        <is>
          <t>nombre</t>
        </is>
      </c>
      <c r="D4" s="3" t="inlineStr">
        <is>
          <t>brechas</t>
        </is>
      </c>
      <c r="E4" s="3" t="inlineStr">
        <is>
          <t>depende_de</t>
        </is>
      </c>
      <c r="F4" s="3" t="inlineStr">
        <is>
          <t>proyecto</t>
        </is>
      </c>
      <c r="G4" s="5" t="inlineStr">
        <is>
          <t>esfuerzo (sem-p)</t>
        </is>
      </c>
    </row>
    <row r="5">
      <c r="A5" s="4" t="inlineStr">
        <is>
          <t>1</t>
        </is>
      </c>
      <c r="B5" s="4" t="inlineStr">
        <is>
          <t>WP-01</t>
        </is>
      </c>
      <c r="C5" s="4" t="inlineStr">
        <is>
          <t>Gobierno digital y de TI</t>
        </is>
      </c>
      <c r="D5" s="4" t="inlineStr">
        <is>
          <t>B-01; B-02; B-03</t>
        </is>
      </c>
      <c r="E5" s="4" t="inlineStr">
        <is>
          <t>—</t>
        </is>
      </c>
      <c r="F5" s="4" t="inlineStr">
        <is>
          <t>P-01 Comité · Líder y Plan de Gobierno Digital</t>
        </is>
      </c>
      <c r="G5" s="6">
        <f>SUMIF(Brechas!$I$5:$I$22,B5,Brechas!$G$5:$G$22)</f>
        <v/>
      </c>
    </row>
    <row r="6">
      <c r="A6" s="4" t="inlineStr">
        <is>
          <t>1</t>
        </is>
      </c>
      <c r="B6" s="4" t="inlineStr">
        <is>
          <t>WP-04</t>
        </is>
      </c>
      <c r="C6" s="4" t="inlineStr">
        <is>
          <t>Continuidad de la infraestructura</t>
        </is>
      </c>
      <c r="D6" s="4" t="inlineStr">
        <is>
          <t>B-05; B-06</t>
        </is>
      </c>
      <c r="E6" s="4" t="inlineStr">
        <is>
          <t>—</t>
        </is>
      </c>
      <c r="F6" s="4" t="inlineStr">
        <is>
          <t>P-04 Respaldo verificado y continuidad</t>
        </is>
      </c>
      <c r="G6" s="6">
        <f>SUMIF(Brechas!$I$5:$I$22,B6,Brechas!$G$5:$G$22)</f>
        <v/>
      </c>
    </row>
    <row r="7">
      <c r="A7" s="4" t="inlineStr">
        <is>
          <t>2</t>
        </is>
      </c>
      <c r="B7" s="4" t="inlineStr">
        <is>
          <t>WP-02</t>
        </is>
      </c>
      <c r="C7" s="4" t="inlineStr">
        <is>
          <t>Protección de datos y seguridad</t>
        </is>
      </c>
      <c r="D7" s="4" t="inlineStr">
        <is>
          <t>B-04; B-16</t>
        </is>
      </c>
      <c r="E7" s="4" t="inlineStr">
        <is>
          <t>WP-01; WP-04</t>
        </is>
      </c>
      <c r="F7" s="4" t="inlineStr">
        <is>
          <t>P-02 Registro de tratamientos y seguridad de la información</t>
        </is>
      </c>
      <c r="G7" s="6">
        <f>SUMIF(Brechas!$I$5:$I$22,B7,Brechas!$G$5:$G$22)</f>
        <v/>
      </c>
    </row>
    <row r="8">
      <c r="A8" s="4" t="inlineStr">
        <is>
          <t>2</t>
        </is>
      </c>
      <c r="B8" s="4" t="inlineStr">
        <is>
          <t>WP-05</t>
        </is>
      </c>
      <c r="C8" s="4" t="inlineStr">
        <is>
          <t>Recuperación de sistemas críticos</t>
        </is>
      </c>
      <c r="D8" s="4" t="inlineStr">
        <is>
          <t>B-07; B-08</t>
        </is>
      </c>
      <c r="E8" s="4" t="inlineStr">
        <is>
          <t>WP-04</t>
        </is>
      </c>
      <c r="F8" s="4" t="inlineStr">
        <is>
          <t>P-05 Rentas con soporte y gestión documental</t>
        </is>
      </c>
      <c r="G8" s="6">
        <f>SUMIF(Brechas!$I$5:$I$22,B8,Brechas!$G$5:$G$22)</f>
        <v/>
      </c>
    </row>
    <row r="9">
      <c r="A9" s="4" t="inlineStr">
        <is>
          <t>2</t>
        </is>
      </c>
      <c r="B9" s="4" t="inlineStr">
        <is>
          <t>WP-08</t>
        </is>
      </c>
      <c r="C9" s="4" t="inlineStr">
        <is>
          <t>Gestión de servicios de TI</t>
        </is>
      </c>
      <c r="D9" s="4" t="inlineStr">
        <is>
          <t>B-17</t>
        </is>
      </c>
      <c r="E9" s="4" t="inlineStr">
        <is>
          <t>WP-01</t>
        </is>
      </c>
      <c r="F9" s="4" t="inlineStr">
        <is>
          <t>P-08 Mesa de ayuda · cambios e inventario de activos</t>
        </is>
      </c>
      <c r="G9" s="6">
        <f>SUMIF(Brechas!$I$5:$I$22,B9,Brechas!$G$5:$G$22)</f>
        <v/>
      </c>
    </row>
    <row r="10">
      <c r="A10" s="4" t="inlineStr">
        <is>
          <t>3</t>
        </is>
      </c>
      <c r="B10" s="4" t="inlineStr">
        <is>
          <t>WP-07</t>
        </is>
      </c>
      <c r="C10" s="4" t="inlineStr">
        <is>
          <t>Interoperabilidad con el Estado</t>
        </is>
      </c>
      <c r="D10" s="4" t="inlineStr">
        <is>
          <t>B-12</t>
        </is>
      </c>
      <c r="E10" s="4" t="inlineStr">
        <is>
          <t>WP-05</t>
        </is>
      </c>
      <c r="F10" s="4" t="inlineStr">
        <is>
          <t>P-07 Capa de interoperabilidad y conexión a la PIDE</t>
        </is>
      </c>
      <c r="G10" s="6">
        <f>SUMIF(Brechas!$I$5:$I$22,B10,Brechas!$G$5:$G$22)</f>
        <v/>
      </c>
    </row>
    <row r="11">
      <c r="A11" s="4" t="inlineStr">
        <is>
          <t>4</t>
        </is>
      </c>
      <c r="B11" s="4" t="inlineStr">
        <is>
          <t>WP-06</t>
        </is>
      </c>
      <c r="C11" s="4" t="inlineStr">
        <is>
          <t>Servicios digitales al ciudadano</t>
        </is>
      </c>
      <c r="D11" s="4" t="inlineStr">
        <is>
          <t>B-11; B-13; B-14; B-18</t>
        </is>
      </c>
      <c r="E11" s="4" t="inlineStr">
        <is>
          <t>WP-02; WP-05; WP-07</t>
        </is>
      </c>
      <c r="F11" s="4" t="inlineStr">
        <is>
          <t>P-06 Mesa de partes · licencias y registro civil digitales</t>
        </is>
      </c>
      <c r="G11" s="6">
        <f>SUMIF(Brechas!$I$5:$I$22,B11,Brechas!$G$5:$G$22)</f>
        <v/>
      </c>
    </row>
    <row r="12">
      <c r="A12" s="4" t="inlineStr">
        <is>
          <t>5</t>
        </is>
      </c>
      <c r="B12" s="4" t="inlineStr">
        <is>
          <t>WP-03</t>
        </is>
      </c>
      <c r="C12" s="4" t="inlineStr">
        <is>
          <t>Fuentes autoritativas y retiro de hojas</t>
        </is>
      </c>
      <c r="D12" s="4" t="inlineStr">
        <is>
          <t>B-09; B-10; B-15</t>
        </is>
      </c>
      <c r="E12" s="4" t="inlineStr">
        <is>
          <t>WP-01; WP-05; WP-06</t>
        </is>
      </c>
      <c r="F12" s="4" t="inlineStr">
        <is>
          <t>P-03 Gobierno del dato municipal</t>
        </is>
      </c>
      <c r="G12" s="6">
        <f>SUMIF(Brechas!$I$5:$I$22,B12,Brechas!$G$5:$G$22)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7" max="7"/>
  </cols>
  <sheetData>
    <row r="1">
      <c r="A1" s="1" t="inlineStr">
        <is>
          <t>Brechas por capa y tipo (fórmulas)</t>
        </is>
      </c>
    </row>
    <row r="4">
      <c r="A4" s="5" t="inlineStr">
        <is>
          <t>Capa</t>
        </is>
      </c>
      <c r="B4" s="5" t="inlineStr">
        <is>
          <t>Nuevo</t>
        </is>
      </c>
      <c r="C4" s="5" t="inlineStr">
        <is>
          <t>Modificar</t>
        </is>
      </c>
      <c r="D4" s="5" t="inlineStr">
        <is>
          <t>Reemplazar</t>
        </is>
      </c>
      <c r="E4" s="5" t="inlineStr">
        <is>
          <t>Retirar</t>
        </is>
      </c>
      <c r="F4" s="5" t="inlineStr">
        <is>
          <t>Total</t>
        </is>
      </c>
      <c r="G4" s="5" t="inlineStr">
        <is>
          <t>Esfuerzo (sem-p)</t>
        </is>
      </c>
    </row>
    <row r="5">
      <c r="A5" s="6" t="inlineStr">
        <is>
          <t>Negocio</t>
        </is>
      </c>
      <c r="B5" s="6">
        <f>COUNTIFS(Brechas!$B$5:$B$22,$A5,Brechas!$F$5:$F$22,"Nuevo")</f>
        <v/>
      </c>
      <c r="C5" s="6">
        <f>COUNTIFS(Brechas!$B$5:$B$22,$A5,Brechas!$F$5:$F$22,"Modificar")</f>
        <v/>
      </c>
      <c r="D5" s="6">
        <f>COUNTIFS(Brechas!$B$5:$B$22,$A5,Brechas!$F$5:$F$22,"Reemplazar")</f>
        <v/>
      </c>
      <c r="E5" s="6">
        <f>COUNTIFS(Brechas!$B$5:$B$22,$A5,Brechas!$F$5:$F$22,"Retirar")</f>
        <v/>
      </c>
      <c r="F5" s="6">
        <f>SUM(B5:E5)</f>
        <v/>
      </c>
      <c r="G5" s="6">
        <f>SUMIF(Brechas!$B$5:$B$22,$A5,Brechas!$G$5:$G$22)</f>
        <v/>
      </c>
    </row>
    <row r="6">
      <c r="A6" s="6" t="inlineStr">
        <is>
          <t>Datos</t>
        </is>
      </c>
      <c r="B6" s="6">
        <f>COUNTIFS(Brechas!$B$5:$B$22,$A6,Brechas!$F$5:$F$22,"Nuevo")</f>
        <v/>
      </c>
      <c r="C6" s="6">
        <f>COUNTIFS(Brechas!$B$5:$B$22,$A6,Brechas!$F$5:$F$22,"Modificar")</f>
        <v/>
      </c>
      <c r="D6" s="6">
        <f>COUNTIFS(Brechas!$B$5:$B$22,$A6,Brechas!$F$5:$F$22,"Reemplazar")</f>
        <v/>
      </c>
      <c r="E6" s="6">
        <f>COUNTIFS(Brechas!$B$5:$B$22,$A6,Brechas!$F$5:$F$22,"Retirar")</f>
        <v/>
      </c>
      <c r="F6" s="6">
        <f>SUM(B6:E6)</f>
        <v/>
      </c>
      <c r="G6" s="6">
        <f>SUMIF(Brechas!$B$5:$B$22,$A6,Brechas!$G$5:$G$22)</f>
        <v/>
      </c>
    </row>
    <row r="7">
      <c r="A7" s="6" t="inlineStr">
        <is>
          <t>Aplicación</t>
        </is>
      </c>
      <c r="B7" s="6">
        <f>COUNTIFS(Brechas!$B$5:$B$22,$A7,Brechas!$F$5:$F$22,"Nuevo")</f>
        <v/>
      </c>
      <c r="C7" s="6">
        <f>COUNTIFS(Brechas!$B$5:$B$22,$A7,Brechas!$F$5:$F$22,"Modificar")</f>
        <v/>
      </c>
      <c r="D7" s="6">
        <f>COUNTIFS(Brechas!$B$5:$B$22,$A7,Brechas!$F$5:$F$22,"Reemplazar")</f>
        <v/>
      </c>
      <c r="E7" s="6">
        <f>COUNTIFS(Brechas!$B$5:$B$22,$A7,Brechas!$F$5:$F$22,"Retirar")</f>
        <v/>
      </c>
      <c r="F7" s="6">
        <f>SUM(B7:E7)</f>
        <v/>
      </c>
      <c r="G7" s="6">
        <f>SUMIF(Brechas!$B$5:$B$22,$A7,Brechas!$G$5:$G$22)</f>
        <v/>
      </c>
    </row>
    <row r="8">
      <c r="A8" s="6" t="inlineStr">
        <is>
          <t>Tecnología</t>
        </is>
      </c>
      <c r="B8" s="6">
        <f>COUNTIFS(Brechas!$B$5:$B$22,$A8,Brechas!$F$5:$F$22,"Nuevo")</f>
        <v/>
      </c>
      <c r="C8" s="6">
        <f>COUNTIFS(Brechas!$B$5:$B$22,$A8,Brechas!$F$5:$F$22,"Modificar")</f>
        <v/>
      </c>
      <c r="D8" s="6">
        <f>COUNTIFS(Brechas!$B$5:$B$22,$A8,Brechas!$F$5:$F$22,"Reemplazar")</f>
        <v/>
      </c>
      <c r="E8" s="6">
        <f>COUNTIFS(Brechas!$B$5:$B$22,$A8,Brechas!$F$5:$F$22,"Retirar")</f>
        <v/>
      </c>
      <c r="F8" s="6">
        <f>SUM(B8:E8)</f>
        <v/>
      </c>
      <c r="G8" s="6">
        <f>SUMIF(Brechas!$B$5:$B$22,$A8,Brechas!$G$5:$G$22)</f>
        <v/>
      </c>
    </row>
    <row r="9">
      <c r="A9" s="7" t="inlineStr">
        <is>
          <t>Total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2026-10-15T22:14:11Z</dcterms:created>
  <dcterms:modified xmlns:dcterms="http://purl.org/dc/terms/" xmlns:xsi="http://www.w3.org/2001/XMLSchema-instance" xsi:type="dcterms:W3CDTF">2026-10-15T22:14:11Z</dcterms:modified>
</cp:coreProperties>
</file>