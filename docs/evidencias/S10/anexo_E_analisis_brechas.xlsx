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chas" sheetId="1" state="visible" r:id="rId1"/>
    <sheet xmlns:r="http://schemas.openxmlformats.org/officeDocument/2006/relationships" name="Paquetes" sheetId="2" state="visible" r:id="rId2"/>
    <sheet xmlns:r="http://schemas.openxmlformats.org/officeDocument/2006/relationships"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2D5C"/>
      <sz val="13"/>
    </font>
    <font>
      <i val="1"/>
      <color rgb="00666666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D5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pivotButton="0" quotePrefix="0" xfId="0"/>
    <xf numFmtId="0" fontId="0" fillId="0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44" customWidth="1" min="3" max="3"/>
    <col width="22" customWidth="1" min="4" max="4"/>
    <col width="20" customWidth="1" min="5" max="5"/>
    <col width="11" customWidth="1" min="6" max="6"/>
    <col width="10" customWidth="1" min="7" max="7"/>
    <col width="16" customWidth="1" min="8" max="8"/>
    <col width="9" customWidth="1" min="9" max="9"/>
    <col width="34" customWidth="1" min="10" max="10"/>
  </cols>
  <sheetData>
    <row r="1">
      <c r="A1" s="1" t="inlineStr">
        <is>
          <t>Anexo E · Análisis de brechas (AR03_brechas.csv)</t>
        </is>
      </c>
    </row>
    <row r="2">
      <c r="A2" s="2" t="inlineStr">
        <is>
          <t>DICOSUR · PETI v0.10 · Restringido · Taller 10 SI-886</t>
        </is>
      </c>
    </row>
    <row r="4">
      <c r="A4" s="3" t="inlineStr">
        <is>
          <t>id</t>
        </is>
      </c>
      <c r="B4" s="3" t="inlineStr">
        <is>
          <t>capa</t>
        </is>
      </c>
      <c r="C4" s="3" t="inlineStr">
        <is>
          <t>brecha</t>
        </is>
      </c>
      <c r="D4" s="3" t="inlineStr">
        <is>
          <t>elemento_actual</t>
        </is>
      </c>
      <c r="E4" s="3" t="inlineStr">
        <is>
          <t>elemento_objetivo</t>
        </is>
      </c>
      <c r="F4" s="3" t="inlineStr">
        <is>
          <t>tipo</t>
        </is>
      </c>
      <c r="G4" s="3" t="inlineStr">
        <is>
          <t>esfuerzo_sem</t>
        </is>
      </c>
      <c r="H4" s="3" t="inlineStr">
        <is>
          <t>dependencias</t>
        </is>
      </c>
      <c r="I4" s="3" t="inlineStr">
        <is>
          <t>paquete</t>
        </is>
      </c>
      <c r="J4" s="3" t="inlineStr">
        <is>
          <t>origen</t>
        </is>
      </c>
    </row>
    <row r="5">
      <c r="A5" s="4" t="inlineStr">
        <is>
          <t>B-01</t>
        </is>
      </c>
      <c r="B5" s="4" t="inlineStr">
        <is>
          <t>Tecnología</t>
        </is>
      </c>
      <c r="C5" s="4" t="inlineStr">
        <is>
          <t>Plataforma del ERP sin soporte del fabricante</t>
        </is>
      </c>
      <c r="D5" s="4" t="inlineStr">
        <is>
          <t>NOD-01</t>
        </is>
      </c>
      <c r="E5" s="4" t="inlineStr">
        <is>
          <t>NOD-01O</t>
        </is>
      </c>
      <c r="F5" s="4" t="inlineStr">
        <is>
          <t>Modificar</t>
        </is>
      </c>
      <c r="G5" s="4" t="n">
        <v>10</v>
      </c>
      <c r="H5" s="4" t="inlineStr">
        <is>
          <t>B-02</t>
        </is>
      </c>
      <c r="I5" s="4" t="inlineStr">
        <is>
          <t>WP-01</t>
        </is>
      </c>
      <c r="J5" s="4" t="inlineStr">
        <is>
          <t>AP-03 · A2 (3.3 PE-05) · E-05</t>
        </is>
      </c>
    </row>
    <row r="6">
      <c r="A6" s="4" t="inlineStr">
        <is>
          <t>B-02</t>
        </is>
      </c>
      <c r="B6" s="4" t="inlineStr">
        <is>
          <t>Tecnología</t>
        </is>
      </c>
      <c r="C6" s="4" t="inlineStr">
        <is>
          <t>Respaldo sin prueba de restauración</t>
        </is>
      </c>
      <c r="D6" s="4" t="inlineStr">
        <is>
          <t>TSV-03</t>
        </is>
      </c>
      <c r="E6" s="4" t="inlineStr">
        <is>
          <t>TSV-03O</t>
        </is>
      </c>
      <c r="F6" s="4" t="inlineStr">
        <is>
          <t>Modificar</t>
        </is>
      </c>
      <c r="G6" s="4" t="n">
        <v>3</v>
      </c>
      <c r="H6" s="4" t="inlineStr">
        <is>
          <t>—</t>
        </is>
      </c>
      <c r="I6" s="4" t="inlineStr">
        <is>
          <t>WP-01</t>
        </is>
      </c>
      <c r="J6" s="4" t="inlineStr">
        <is>
          <t>AP-03 · D6 (3.1.4) · E-12</t>
        </is>
      </c>
    </row>
    <row r="7">
      <c r="A7" s="4" t="inlineStr">
        <is>
          <t>B-03</t>
        </is>
      </c>
      <c r="B7" s="4" t="inlineStr">
        <is>
          <t>Tecnología</t>
        </is>
      </c>
      <c r="C7" s="4" t="inlineStr">
        <is>
          <t>Servidor único sin redundancia</t>
        </is>
      </c>
      <c r="D7" s="4" t="inlineStr">
        <is>
          <t>NOD-01</t>
        </is>
      </c>
      <c r="E7" s="4" t="inlineStr">
        <is>
          <t>NOD-05</t>
        </is>
      </c>
      <c r="F7" s="4" t="inlineStr">
        <is>
          <t>Nuevo</t>
        </is>
      </c>
      <c r="G7" s="4" t="n">
        <v>5</v>
      </c>
      <c r="H7" s="4" t="inlineStr">
        <is>
          <t>B-01</t>
        </is>
      </c>
      <c r="I7" s="4" t="inlineStr">
        <is>
          <t>WP-01</t>
        </is>
      </c>
      <c r="J7" s="4" t="inlineStr">
        <is>
          <t>COBIT DSS04 (4.2) · D6 · E-12</t>
        </is>
      </c>
    </row>
    <row r="8">
      <c r="A8" s="4" t="inlineStr">
        <is>
          <t>B-04</t>
        </is>
      </c>
      <c r="B8" s="4" t="inlineStr">
        <is>
          <t>Datos</t>
        </is>
      </c>
      <c r="C8" s="4" t="inlineStr">
        <is>
          <t>Sin registro de actividades de tratamiento</t>
        </is>
      </c>
      <c r="D8" s="4" t="inlineStr">
        <is>
          <t>—</t>
        </is>
      </c>
      <c r="E8" s="4" t="inlineStr">
        <is>
          <t>DO-09</t>
        </is>
      </c>
      <c r="F8" s="4" t="inlineStr">
        <is>
          <t>Nuevo</t>
        </is>
      </c>
      <c r="G8" s="4" t="n">
        <v>4</v>
      </c>
      <c r="H8" s="4" t="inlineStr">
        <is>
          <t>—</t>
        </is>
      </c>
      <c r="I8" s="4" t="inlineStr">
        <is>
          <t>WP-02</t>
        </is>
      </c>
      <c r="J8" s="4" t="inlineStr">
        <is>
          <t>AP-04 · A3 (3.3 PE-09) · E-11</t>
        </is>
      </c>
    </row>
    <row r="9">
      <c r="A9" s="4" t="inlineStr">
        <is>
          <t>B-05</t>
        </is>
      </c>
      <c r="B9" s="4" t="inlineStr">
        <is>
          <t>Negocio</t>
        </is>
      </c>
      <c r="C9" s="4" t="inlineStr">
        <is>
          <t>Sin dueños de dato designados</t>
        </is>
      </c>
      <c r="D9" s="4" t="inlineStr">
        <is>
          <t>—</t>
        </is>
      </c>
      <c r="E9" s="4" t="inlineStr">
        <is>
          <t>ROL-04</t>
        </is>
      </c>
      <c r="F9" s="4" t="inlineStr">
        <is>
          <t>Nuevo</t>
        </is>
      </c>
      <c r="G9" s="4" t="n">
        <v>2</v>
      </c>
      <c r="H9" s="4" t="inlineStr">
        <is>
          <t>B-04</t>
        </is>
      </c>
      <c r="I9" s="4" t="inlineStr">
        <is>
          <t>WP-03</t>
        </is>
      </c>
      <c r="J9" s="4" t="inlineStr">
        <is>
          <t>AP-01 · D7 (2.4)</t>
        </is>
      </c>
    </row>
    <row r="10">
      <c r="A10" s="4" t="inlineStr">
        <is>
          <t>B-06</t>
        </is>
      </c>
      <c r="B10" s="4" t="inlineStr">
        <is>
          <t>Datos</t>
        </is>
      </c>
      <c r="C10" s="4" t="inlineStr">
        <is>
          <t>Cliente en tres lugares sin fuente ni dueño</t>
        </is>
      </c>
      <c r="D10" s="4" t="inlineStr">
        <is>
          <t>DO-01; DO-02; DO-03</t>
        </is>
      </c>
      <c r="E10" s="4" t="inlineStr">
        <is>
          <t>DO-01</t>
        </is>
      </c>
      <c r="F10" s="4" t="inlineStr">
        <is>
          <t>Modificar</t>
        </is>
      </c>
      <c r="G10" s="4" t="n">
        <v>6</v>
      </c>
      <c r="H10" s="4" t="inlineStr">
        <is>
          <t>B-05; B-08</t>
        </is>
      </c>
      <c r="I10" s="4" t="inlineStr">
        <is>
          <t>WP-03</t>
        </is>
      </c>
      <c r="J10" s="4" t="inlineStr">
        <is>
          <t>AP-01 · D7 · E-09</t>
        </is>
      </c>
    </row>
    <row r="11">
      <c r="A11" s="4" t="inlineStr">
        <is>
          <t>B-07</t>
        </is>
      </c>
      <c r="B11" s="4" t="inlineStr">
        <is>
          <t>Datos</t>
        </is>
      </c>
      <c r="C11" s="4" t="inlineStr">
        <is>
          <t>Precio sin fuente autoritativa</t>
        </is>
      </c>
      <c r="D11" s="4" t="inlineStr">
        <is>
          <t>DO-05</t>
        </is>
      </c>
      <c r="E11" s="4" t="inlineStr">
        <is>
          <t>DO-05O</t>
        </is>
      </c>
      <c r="F11" s="4" t="inlineStr">
        <is>
          <t>Modificar</t>
        </is>
      </c>
      <c r="G11" s="4" t="n">
        <v>3</v>
      </c>
      <c r="H11" s="4" t="inlineStr">
        <is>
          <t>B-05</t>
        </is>
      </c>
      <c r="I11" s="4" t="inlineStr">
        <is>
          <t>WP-03</t>
        </is>
      </c>
      <c r="J11" s="4" t="inlineStr">
        <is>
          <t>AP-01 · AP-06</t>
        </is>
      </c>
    </row>
    <row r="12">
      <c r="A12" s="4" t="inlineStr">
        <is>
          <t>B-08</t>
        </is>
      </c>
      <c r="B12" s="4" t="inlineStr">
        <is>
          <t>Aplicación</t>
        </is>
      </c>
      <c r="C12" s="4" t="inlineStr">
        <is>
          <t>Integración por archivo plano nocturno</t>
        </is>
      </c>
      <c r="D12" s="4" t="inlineStr">
        <is>
          <t>AIF-01</t>
        </is>
      </c>
      <c r="E12" s="4" t="inlineStr">
        <is>
          <t>APP-14; AIF-03</t>
        </is>
      </c>
      <c r="F12" s="4" t="inlineStr">
        <is>
          <t>Nuevo</t>
        </is>
      </c>
      <c r="G12" s="4" t="n">
        <v>8</v>
      </c>
      <c r="H12" s="4" t="inlineStr">
        <is>
          <t>B-01</t>
        </is>
      </c>
      <c r="I12" s="4" t="inlineStr">
        <is>
          <t>WP-04</t>
        </is>
      </c>
      <c r="J12" s="4" t="inlineStr">
        <is>
          <t>AP-02 · D3 · D4</t>
        </is>
      </c>
    </row>
    <row r="13">
      <c r="A13" s="4" t="inlineStr">
        <is>
          <t>B-09</t>
        </is>
      </c>
      <c r="B13" s="4" t="inlineStr">
        <is>
          <t>Datos</t>
        </is>
      </c>
      <c r="C13" s="4" t="inlineStr">
        <is>
          <t>Stock con dos versiones (ERP y WMS)</t>
        </is>
      </c>
      <c r="D13" s="4" t="inlineStr">
        <is>
          <t>DO-07; DO-08</t>
        </is>
      </c>
      <c r="E13" s="4" t="inlineStr">
        <is>
          <t>DO-07O</t>
        </is>
      </c>
      <c r="F13" s="4" t="inlineStr">
        <is>
          <t>Modificar</t>
        </is>
      </c>
      <c r="G13" s="4" t="n">
        <v>3</v>
      </c>
      <c r="H13" s="4" t="inlineStr">
        <is>
          <t>B-08</t>
        </is>
      </c>
      <c r="I13" s="4" t="inlineStr">
        <is>
          <t>WP-03</t>
        </is>
      </c>
      <c r="J13" s="4" t="inlineStr">
        <is>
          <t>AP-01 · AP-02</t>
        </is>
      </c>
    </row>
    <row r="14">
      <c r="A14" s="4" t="inlineStr">
        <is>
          <t>B-10</t>
        </is>
      </c>
      <c r="B14" s="4" t="inlineStr">
        <is>
          <t>Aplicación</t>
        </is>
      </c>
      <c r="C14" s="4" t="inlineStr">
        <is>
          <t>Portal B2B sin integración</t>
        </is>
      </c>
      <c r="D14" s="4" t="inlineStr">
        <is>
          <t>APP-02</t>
        </is>
      </c>
      <c r="E14" s="4" t="inlineStr">
        <is>
          <t>APP-02O</t>
        </is>
      </c>
      <c r="F14" s="4" t="inlineStr">
        <is>
          <t>Modificar</t>
        </is>
      </c>
      <c r="G14" s="4" t="n">
        <v>8</v>
      </c>
      <c r="H14" s="4" t="inlineStr">
        <is>
          <t>B-08; B-06; B-16</t>
        </is>
      </c>
      <c r="I14" s="4" t="inlineStr">
        <is>
          <t>WP-05</t>
        </is>
      </c>
      <c r="J14" s="4" t="inlineStr">
        <is>
          <t>Visión (2.2) · AP-05 · E-01</t>
        </is>
      </c>
    </row>
    <row r="15">
      <c r="A15" s="4" t="inlineStr">
        <is>
          <t>B-11</t>
        </is>
      </c>
      <c r="B15" s="4" t="inlineStr">
        <is>
          <t>Negocio</t>
        </is>
      </c>
      <c r="C15" s="4" t="inlineStr">
        <is>
          <t>Toma de pedido por teléfono y papel</t>
        </is>
      </c>
      <c r="D15" s="4" t="inlineStr">
        <is>
          <t>PRO-02</t>
        </is>
      </c>
      <c r="E15" s="4" t="inlineStr">
        <is>
          <t>PRO-02O</t>
        </is>
      </c>
      <c r="F15" s="4" t="inlineStr">
        <is>
          <t>Modificar</t>
        </is>
      </c>
      <c r="G15" s="4" t="n">
        <v>4</v>
      </c>
      <c r="H15" s="4" t="inlineStr">
        <is>
          <t>B-10</t>
        </is>
      </c>
      <c r="I15" s="4" t="inlineStr">
        <is>
          <t>WP-05</t>
        </is>
      </c>
      <c r="J15" s="4" t="inlineStr">
        <is>
          <t>AP-05 · D3 (3.1.1 CV-05) · E-08</t>
        </is>
      </c>
    </row>
    <row r="16">
      <c r="A16" s="4" t="inlineStr">
        <is>
          <t>B-12</t>
        </is>
      </c>
      <c r="B16" s="4" t="inlineStr">
        <is>
          <t>Aplicación</t>
        </is>
      </c>
      <c r="C16" s="4" t="inlineStr">
        <is>
          <t>Ruteo en hoja de cálculo</t>
        </is>
      </c>
      <c r="D16" s="4" t="inlineStr">
        <is>
          <t>APP-06</t>
        </is>
      </c>
      <c r="E16" s="4" t="inlineStr">
        <is>
          <t>APP-13; ASV-04</t>
        </is>
      </c>
      <c r="F16" s="4" t="inlineStr">
        <is>
          <t>Nuevo</t>
        </is>
      </c>
      <c r="G16" s="4" t="n">
        <v>7</v>
      </c>
      <c r="H16" s="4" t="inlineStr">
        <is>
          <t>B-08; B-09</t>
        </is>
      </c>
      <c r="I16" s="4" t="inlineStr">
        <is>
          <t>WP-06</t>
        </is>
      </c>
      <c r="J16" s="4" t="inlineStr">
        <is>
          <t>AP-06 · D4 (3.1.1 CV-03) · E-02</t>
        </is>
      </c>
    </row>
    <row r="17">
      <c r="A17" s="4" t="inlineStr">
        <is>
          <t>B-13</t>
        </is>
      </c>
      <c r="B17" s="4" t="inlineStr">
        <is>
          <t>Aplicación</t>
        </is>
      </c>
      <c r="C17" s="4" t="inlineStr">
        <is>
          <t>Análisis comercial en hojas de cálculo</t>
        </is>
      </c>
      <c r="D17" s="4" t="inlineStr">
        <is>
          <t>APP-11</t>
        </is>
      </c>
      <c r="E17" s="4" t="inlineStr">
        <is>
          <t>APP-15</t>
        </is>
      </c>
      <c r="F17" s="4" t="inlineStr">
        <is>
          <t>Nuevo</t>
        </is>
      </c>
      <c r="G17" s="4" t="n">
        <v>5</v>
      </c>
      <c r="H17" s="4" t="inlineStr">
        <is>
          <t>B-04; B-06; B-07</t>
        </is>
      </c>
      <c r="I17" s="4" t="inlineStr">
        <is>
          <t>WP-07</t>
        </is>
      </c>
      <c r="J17" s="4" t="inlineStr">
        <is>
          <t>D1 (3.1.5) · E-07</t>
        </is>
      </c>
    </row>
    <row r="18">
      <c r="A18" s="4" t="inlineStr">
        <is>
          <t>B-14</t>
        </is>
      </c>
      <c r="B18" s="4" t="inlineStr">
        <is>
          <t>Negocio</t>
        </is>
      </c>
      <c r="C18" s="4" t="inlineStr">
        <is>
          <t>Reclamo por correo sin registro ni seguimiento</t>
        </is>
      </c>
      <c r="D18" s="4" t="inlineStr">
        <is>
          <t>PRO-08</t>
        </is>
      </c>
      <c r="E18" s="4" t="inlineStr">
        <is>
          <t>PRO-08O; APP-16</t>
        </is>
      </c>
      <c r="F18" s="4" t="inlineStr">
        <is>
          <t>Nuevo</t>
        </is>
      </c>
      <c r="G18" s="4" t="n">
        <v>4</v>
      </c>
      <c r="H18" s="4" t="inlineStr">
        <is>
          <t>B-06</t>
        </is>
      </c>
      <c r="I18" s="4" t="inlineStr">
        <is>
          <t>WP-08</t>
        </is>
      </c>
      <c r="J18" s="4" t="inlineStr">
        <is>
          <t>ITIL / COBIT DSS02 (4.2) · A1 · E-06</t>
        </is>
      </c>
    </row>
    <row r="19">
      <c r="A19" s="4" t="inlineStr">
        <is>
          <t>B-15</t>
        </is>
      </c>
      <c r="B19" s="4" t="inlineStr">
        <is>
          <t>Aplicación</t>
        </is>
      </c>
      <c r="C19" s="4" t="inlineStr">
        <is>
          <t>Hojas de clientes · precios · cobranza y personal operan como sistema</t>
        </is>
      </c>
      <c r="D19" s="4" t="inlineStr">
        <is>
          <t>APP-07; APP-08; APP-09; APP-10</t>
        </is>
      </c>
      <c r="E19" s="4" t="inlineStr">
        <is>
          <t>—</t>
        </is>
      </c>
      <c r="F19" s="4" t="inlineStr">
        <is>
          <t>Retirar</t>
        </is>
      </c>
      <c r="G19" s="4" t="n">
        <v>3</v>
      </c>
      <c r="H19" s="4" t="inlineStr">
        <is>
          <t>B-06; B-07; B-13</t>
        </is>
      </c>
      <c r="I19" s="4" t="inlineStr">
        <is>
          <t>WP-07</t>
        </is>
      </c>
      <c r="J19" s="4" t="inlineStr">
        <is>
          <t>AP-06</t>
        </is>
      </c>
    </row>
    <row r="20">
      <c r="A20" s="4" t="inlineStr">
        <is>
          <t>B-16</t>
        </is>
      </c>
      <c r="B20" s="4" t="inlineStr">
        <is>
          <t>Aplicación</t>
        </is>
      </c>
      <c r="C20" s="4" t="inlineStr">
        <is>
          <t>Portal dependiente de un solo desarrollador</t>
        </is>
      </c>
      <c r="D20" s="4" t="inlineStr">
        <is>
          <t>APP-02</t>
        </is>
      </c>
      <c r="E20" s="4" t="inlineStr">
        <is>
          <t>APP-02O</t>
        </is>
      </c>
      <c r="F20" s="4" t="inlineStr">
        <is>
          <t>Modificar</t>
        </is>
      </c>
      <c r="G20" s="4" t="n">
        <v>3</v>
      </c>
      <c r="H20" s="4" t="inlineStr">
        <is>
          <t>—</t>
        </is>
      </c>
      <c r="I20" s="4" t="inlineStr">
        <is>
          <t>WP-09</t>
        </is>
      </c>
      <c r="J20" s="4" t="inlineStr">
        <is>
          <t>AP-07 · D2 (3.1.3) · E-10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40" customWidth="1" min="3" max="3"/>
    <col width="26" customWidth="1" min="4" max="4"/>
    <col width="18" customWidth="1" min="5" max="5"/>
    <col width="32" customWidth="1" min="6" max="6"/>
    <col width="14" customWidth="1" min="7" max="7"/>
  </cols>
  <sheetData>
    <row r="1">
      <c r="A1" s="1" t="inlineStr">
        <is>
          <t>Paquetes de trabajo y secuencia obligada (salida de AR03_brechas.py)</t>
        </is>
      </c>
    </row>
    <row r="2">
      <c r="A2" s="2" t="inlineStr">
        <is>
          <t>DICOSUR · PETI v0.10 · Restringido · Taller 10 SI-886</t>
        </is>
      </c>
    </row>
    <row r="4">
      <c r="A4" s="3" t="inlineStr">
        <is>
          <t>ola</t>
        </is>
      </c>
      <c r="B4" s="3" t="inlineStr">
        <is>
          <t>paquete</t>
        </is>
      </c>
      <c r="C4" s="3" t="inlineStr">
        <is>
          <t>nombre</t>
        </is>
      </c>
      <c r="D4" s="3" t="inlineStr">
        <is>
          <t>brechas</t>
        </is>
      </c>
      <c r="E4" s="3" t="inlineStr">
        <is>
          <t>depende_de</t>
        </is>
      </c>
      <c r="F4" s="3" t="inlineStr">
        <is>
          <t>proyecto</t>
        </is>
      </c>
      <c r="G4" s="5" t="inlineStr">
        <is>
          <t>esfuerzo (sem-p)</t>
        </is>
      </c>
    </row>
    <row r="5">
      <c r="A5" s="4" t="inlineStr">
        <is>
          <t>1</t>
        </is>
      </c>
      <c r="B5" s="4" t="inlineStr">
        <is>
          <t>WP-01</t>
        </is>
      </c>
      <c r="C5" s="4" t="inlineStr">
        <is>
          <t>Continuidad y plataforma del ERP</t>
        </is>
      </c>
      <c r="D5" s="4" t="inlineStr">
        <is>
          <t>B-01; B-02; B-03</t>
        </is>
      </c>
      <c r="E5" s="4" t="inlineStr">
        <is>
          <t>—</t>
        </is>
      </c>
      <c r="F5" s="4" t="inlineStr">
        <is>
          <t>P-01 · P-03</t>
        </is>
      </c>
      <c r="G5" s="6">
        <f>SUMIF(Brechas!$I$5:$I$20,B5,Brechas!$G$5:$G$20)</f>
        <v/>
      </c>
    </row>
    <row r="6">
      <c r="A6" s="4" t="inlineStr">
        <is>
          <t>1</t>
        </is>
      </c>
      <c r="B6" s="4" t="inlineStr">
        <is>
          <t>WP-02</t>
        </is>
      </c>
      <c r="C6" s="4" t="inlineStr">
        <is>
          <t>Cumplimiento de datos personales</t>
        </is>
      </c>
      <c r="D6" s="4" t="inlineStr">
        <is>
          <t>B-04</t>
        </is>
      </c>
      <c r="E6" s="4" t="inlineStr">
        <is>
          <t>—</t>
        </is>
      </c>
      <c r="F6" s="4" t="inlineStr">
        <is>
          <t>P-02</t>
        </is>
      </c>
      <c r="G6" s="6">
        <f>SUMIF(Brechas!$I$5:$I$20,B6,Brechas!$G$5:$G$20)</f>
        <v/>
      </c>
    </row>
    <row r="7">
      <c r="A7" s="4" t="inlineStr">
        <is>
          <t>1</t>
        </is>
      </c>
      <c r="B7" s="4" t="inlineStr">
        <is>
          <t>WP-09</t>
        </is>
      </c>
      <c r="C7" s="4" t="inlineStr">
        <is>
          <t>Gestión del conocimiento del portal</t>
        </is>
      </c>
      <c r="D7" s="4" t="inlineStr">
        <is>
          <t>B-16</t>
        </is>
      </c>
      <c r="E7" s="4" t="inlineStr">
        <is>
          <t>—</t>
        </is>
      </c>
      <c r="F7" s="4" t="inlineStr">
        <is>
          <t>P-09</t>
        </is>
      </c>
      <c r="G7" s="6">
        <f>SUMIF(Brechas!$I$5:$I$20,B7,Brechas!$G$5:$G$20)</f>
        <v/>
      </c>
    </row>
    <row r="8">
      <c r="A8" s="4" t="inlineStr">
        <is>
          <t>2</t>
        </is>
      </c>
      <c r="B8" s="4" t="inlineStr">
        <is>
          <t>WP-04</t>
        </is>
      </c>
      <c r="C8" s="4" t="inlineStr">
        <is>
          <t>Capa de integración por servicios</t>
        </is>
      </c>
      <c r="D8" s="4" t="inlineStr">
        <is>
          <t>B-08</t>
        </is>
      </c>
      <c r="E8" s="4" t="inlineStr">
        <is>
          <t>WP-01</t>
        </is>
      </c>
      <c r="F8" s="4" t="inlineStr">
        <is>
          <t>P-12 (nuevo · propuesto para 7.1)</t>
        </is>
      </c>
      <c r="G8" s="6">
        <f>SUMIF(Brechas!$I$5:$I$20,B8,Brechas!$G$5:$G$20)</f>
        <v/>
      </c>
    </row>
    <row r="9">
      <c r="A9" s="4" t="inlineStr">
        <is>
          <t>3</t>
        </is>
      </c>
      <c r="B9" s="4" t="inlineStr">
        <is>
          <t>WP-03</t>
        </is>
      </c>
      <c r="C9" s="4" t="inlineStr">
        <is>
          <t>Gobierno del dato y maestros</t>
        </is>
      </c>
      <c r="D9" s="4" t="inlineStr">
        <is>
          <t>B-05; B-06; B-07; B-09</t>
        </is>
      </c>
      <c r="E9" s="4" t="inlineStr">
        <is>
          <t>WP-02; WP-04</t>
        </is>
      </c>
      <c r="F9" s="4" t="inlineStr">
        <is>
          <t>P-08 · P-06 (gobierno)</t>
        </is>
      </c>
      <c r="G9" s="6">
        <f>SUMIF(Brechas!$I$5:$I$20,B9,Brechas!$G$5:$G$20)</f>
        <v/>
      </c>
    </row>
    <row r="10">
      <c r="A10" s="4" t="inlineStr">
        <is>
          <t>4</t>
        </is>
      </c>
      <c r="B10" s="4" t="inlineStr">
        <is>
          <t>WP-05</t>
        </is>
      </c>
      <c r="C10" s="4" t="inlineStr">
        <is>
          <t>Canal digital integrado</t>
        </is>
      </c>
      <c r="D10" s="4" t="inlineStr">
        <is>
          <t>B-10; B-11</t>
        </is>
      </c>
      <c r="E10" s="4" t="inlineStr">
        <is>
          <t>WP-03; WP-04; WP-09</t>
        </is>
      </c>
      <c r="F10" s="4" t="inlineStr">
        <is>
          <t>P-04 · P-07</t>
        </is>
      </c>
      <c r="G10" s="6">
        <f>SUMIF(Brechas!$I$5:$I$20,B10,Brechas!$G$5:$G$20)</f>
        <v/>
      </c>
    </row>
    <row r="11">
      <c r="A11" s="4" t="inlineStr">
        <is>
          <t>4</t>
        </is>
      </c>
      <c r="B11" s="4" t="inlineStr">
        <is>
          <t>WP-06</t>
        </is>
      </c>
      <c r="C11" s="4" t="inlineStr">
        <is>
          <t>Ruteo y trazabilidad de despacho</t>
        </is>
      </c>
      <c r="D11" s="4" t="inlineStr">
        <is>
          <t>B-12</t>
        </is>
      </c>
      <c r="E11" s="4" t="inlineStr">
        <is>
          <t>WP-03; WP-04</t>
        </is>
      </c>
      <c r="F11" s="4" t="inlineStr">
        <is>
          <t>P-05</t>
        </is>
      </c>
      <c r="G11" s="6">
        <f>SUMIF(Brechas!$I$5:$I$20,B11,Brechas!$G$5:$G$20)</f>
        <v/>
      </c>
    </row>
    <row r="12">
      <c r="A12" s="4" t="inlineStr">
        <is>
          <t>4</t>
        </is>
      </c>
      <c r="B12" s="4" t="inlineStr">
        <is>
          <t>WP-07</t>
        </is>
      </c>
      <c r="C12" s="4" t="inlineStr">
        <is>
          <t>Analítica y retiro de hojas de cálculo</t>
        </is>
      </c>
      <c r="D12" s="4" t="inlineStr">
        <is>
          <t>B-13; B-15</t>
        </is>
      </c>
      <c r="E12" s="4" t="inlineStr">
        <is>
          <t>WP-02; WP-03</t>
        </is>
      </c>
      <c r="F12" s="4" t="inlineStr">
        <is>
          <t>P-06</t>
        </is>
      </c>
      <c r="G12" s="6">
        <f>SUMIF(Brechas!$I$5:$I$20,B12,Brechas!$G$5:$G$20)</f>
        <v/>
      </c>
    </row>
    <row r="13">
      <c r="A13" s="4" t="inlineStr">
        <is>
          <t>4</t>
        </is>
      </c>
      <c r="B13" s="4" t="inlineStr">
        <is>
          <t>WP-08</t>
        </is>
      </c>
      <c r="C13" s="4" t="inlineStr">
        <is>
          <t>Atención de reclamos con trazabilidad</t>
        </is>
      </c>
      <c r="D13" s="4" t="inlineStr">
        <is>
          <t>B-14</t>
        </is>
      </c>
      <c r="E13" s="4" t="inlineStr">
        <is>
          <t>WP-03</t>
        </is>
      </c>
      <c r="F13" s="4" t="inlineStr">
        <is>
          <t>P-11</t>
        </is>
      </c>
      <c r="G13" s="6">
        <f>SUMIF(Brechas!$I$5:$I$20,B13,Brechas!$G$5:$G$20)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6" max="6"/>
  </cols>
  <sheetData>
    <row r="1">
      <c r="A1" s="1" t="inlineStr">
        <is>
          <t>Brechas por capa y tipo (fórmulas)</t>
        </is>
      </c>
    </row>
    <row r="4">
      <c r="A4" s="5" t="inlineStr">
        <is>
          <t>Capa</t>
        </is>
      </c>
      <c r="B4" s="5" t="inlineStr">
        <is>
          <t>Nuevo</t>
        </is>
      </c>
      <c r="C4" s="5" t="inlineStr">
        <is>
          <t>Modificar</t>
        </is>
      </c>
      <c r="D4" s="5" t="inlineStr">
        <is>
          <t>Retirar</t>
        </is>
      </c>
      <c r="E4" s="5" t="inlineStr">
        <is>
          <t>Total</t>
        </is>
      </c>
      <c r="F4" s="5" t="inlineStr">
        <is>
          <t>Esfuerzo (sem-p)</t>
        </is>
      </c>
    </row>
    <row r="5">
      <c r="A5" s="6" t="inlineStr">
        <is>
          <t>Negocio</t>
        </is>
      </c>
      <c r="B5" s="6">
        <f>COUNTIFS(Brechas!$B$5:$B$20,$A5,Brechas!$F$5:$F$20,"Nuevo")</f>
        <v/>
      </c>
      <c r="C5" s="6">
        <f>COUNTIFS(Brechas!$B$5:$B$20,$A5,Brechas!$F$5:$F$20,"Modificar")</f>
        <v/>
      </c>
      <c r="D5" s="6">
        <f>COUNTIFS(Brechas!$B$5:$B$20,$A5,Brechas!$F$5:$F$20,"Retirar")</f>
        <v/>
      </c>
      <c r="E5" s="6">
        <f>SUM(B5:D5)</f>
        <v/>
      </c>
      <c r="F5" s="6">
        <f>SUMIF(Brechas!$B$5:$B$20,$A5,Brechas!$G$5:$G$20)</f>
        <v/>
      </c>
    </row>
    <row r="6">
      <c r="A6" s="6" t="inlineStr">
        <is>
          <t>Datos</t>
        </is>
      </c>
      <c r="B6" s="6">
        <f>COUNTIFS(Brechas!$B$5:$B$20,$A6,Brechas!$F$5:$F$20,"Nuevo")</f>
        <v/>
      </c>
      <c r="C6" s="6">
        <f>COUNTIFS(Brechas!$B$5:$B$20,$A6,Brechas!$F$5:$F$20,"Modificar")</f>
        <v/>
      </c>
      <c r="D6" s="6">
        <f>COUNTIFS(Brechas!$B$5:$B$20,$A6,Brechas!$F$5:$F$20,"Retirar")</f>
        <v/>
      </c>
      <c r="E6" s="6">
        <f>SUM(B6:D6)</f>
        <v/>
      </c>
      <c r="F6" s="6">
        <f>SUMIF(Brechas!$B$5:$B$20,$A6,Brechas!$G$5:$G$20)</f>
        <v/>
      </c>
    </row>
    <row r="7">
      <c r="A7" s="6" t="inlineStr">
        <is>
          <t>Aplicación</t>
        </is>
      </c>
      <c r="B7" s="6">
        <f>COUNTIFS(Brechas!$B$5:$B$20,$A7,Brechas!$F$5:$F$20,"Nuevo")</f>
        <v/>
      </c>
      <c r="C7" s="6">
        <f>COUNTIFS(Brechas!$B$5:$B$20,$A7,Brechas!$F$5:$F$20,"Modificar")</f>
        <v/>
      </c>
      <c r="D7" s="6">
        <f>COUNTIFS(Brechas!$B$5:$B$20,$A7,Brechas!$F$5:$F$20,"Retirar")</f>
        <v/>
      </c>
      <c r="E7" s="6">
        <f>SUM(B7:D7)</f>
        <v/>
      </c>
      <c r="F7" s="6">
        <f>SUMIF(Brechas!$B$5:$B$20,$A7,Brechas!$G$5:$G$20)</f>
        <v/>
      </c>
    </row>
    <row r="8">
      <c r="A8" s="6" t="inlineStr">
        <is>
          <t>Tecnología</t>
        </is>
      </c>
      <c r="B8" s="6">
        <f>COUNTIFS(Brechas!$B$5:$B$20,$A8,Brechas!$F$5:$F$20,"Nuevo")</f>
        <v/>
      </c>
      <c r="C8" s="6">
        <f>COUNTIFS(Brechas!$B$5:$B$20,$A8,Brechas!$F$5:$F$20,"Modificar")</f>
        <v/>
      </c>
      <c r="D8" s="6">
        <f>COUNTIFS(Brechas!$B$5:$B$20,$A8,Brechas!$F$5:$F$20,"Retirar")</f>
        <v/>
      </c>
      <c r="E8" s="6">
        <f>SUM(B8:D8)</f>
        <v/>
      </c>
      <c r="F8" s="6">
        <f>SUMIF(Brechas!$B$5:$B$20,$A8,Brechas!$G$5:$G$20)</f>
        <v/>
      </c>
    </row>
    <row r="9">
      <c r="A9" s="7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2026-10-15T17:42:16Z</dcterms:created>
  <dcterms:modified xmlns:dcterms="http://purl.org/dc/terms/" xmlns:xsi="http://www.w3.org/2001/XMLSchema-instance" xsi:type="dcterms:W3CDTF">2026-10-15T17:42:16Z</dcterms:modified>
</cp:coreProperties>
</file>